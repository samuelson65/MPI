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Provider Overview" sheetId="1" state="visible" r:id="rId3"/>
    <sheet name="2. Payer Mix" sheetId="2" state="visible" r:id="rId4"/>
    <sheet name="3. Acuity &amp; Complexity" sheetId="3" state="visible" r:id="rId5"/>
    <sheet name="4. Demographics &amp; SDOH" sheetId="4" state="visible" r:id="rId6"/>
    <sheet name="5. Episode &amp; Service Line" sheetId="5" state="visible" r:id="rId7"/>
    <sheet name="6. Clinical Quality" sheetId="6" state="visible" r:id="rId8"/>
    <sheet name="7. Financial &amp; Billing" sheetId="7" state="visible" r:id="rId9"/>
    <sheet name="8. Payment Integrity Signals" sheetId="8" state="visible" r:id="rId10"/>
    <sheet name="9. Provider Classification" sheetId="9" state="visible" r:id="rId11"/>
    <sheet name="10. Master Scorecard"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<sst xmlns="http://schemas.openxmlformats.org/spreadsheetml/2006/main" count="1105" uniqueCount="979">
  <si>
    <t xml:space="preserve">MASTER PROVIDER ANALYSIS — HCA | ASCENSION | KAISER  |  CLINICAL · FINANCIAL · PATIENT MIX · PAYMENT INTEGRITY</t>
  </si>
  <si>
    <t xml:space="preserve">Comprehensive, neutral comparative analysis across all four analytical lenses. Patient mix is the ROOT CAUSE variable — it explains clinical, financial, and PI patterns throughout.</t>
  </si>
  <si>
    <t xml:space="preserve">MA Context: CMS pays risk-adjusted PMPM to plans. HCA/Ascension receive FFS from plans. Kaiser IS the plan. This structural difference drives every downstream metric.</t>
  </si>
  <si>
    <t xml:space="preserve">  HOW MEDICARE ADVANTAGE MONEY FLOWS — THE STRUCTURAL FOUNDATION</t>
  </si>
  <si>
    <t xml:space="preserve">HCA Healthcare</t>
  </si>
  <si>
    <t xml:space="preserve">Identity: For-Profit / Publicly Traded (NYSE: HCA) | Nashville, TN | ~$69.5B revenue | ~300,000 employees</t>
  </si>
  <si>
    <t xml:space="preserve">MA Payment Flow: CMS → MA Plan (Humana/UHC/etc.) → HCA (bills fee-for-service per admission/procedure)</t>
  </si>
  <si>
    <t xml:space="preserve">Resulting Behaviour: Volume incentive intact. More admissions = more revenue. No capitation risk.</t>
  </si>
  <si>
    <t xml:space="preserve">Ascension Health</t>
  </si>
  <si>
    <t xml:space="preserve">Identity: Faith-Based Non-Profit (Catholic) | St. Louis, MO | ~$30.1B revenue | ~140,000 employees</t>
  </si>
  <si>
    <t xml:space="preserve">MA Payment Flow: CMS → MA Plan → Ascension (FFS or VBC) OR CMS → ACO REACH (direct capitation in some markets)</t>
  </si>
  <si>
    <t xml:space="preserve">Resulting Behaviour: Dual role: FFS billing AND population health accountability simultaneously.</t>
  </si>
  <si>
    <t xml:space="preserve">Kaiser Permanente</t>
  </si>
  <si>
    <t xml:space="preserve">Identity: Integrated Non-Profit (Plan + Provider) | Oakland, CA | ~$106.2B revenue | ~218,000 employees</t>
  </si>
  <si>
    <t xml:space="preserve">MA Payment Flow: CMS → Kaiser Health Plan (the MA plan) → Kaiser Permanente Medical Groups (owned providers)</t>
  </si>
  <si>
    <t xml:space="preserve">Resulting Behaviour: Receives full CMS capitation. Prevention = profit. Every avoidable admission costs Kaiser directly.</t>
  </si>
  <si>
    <t xml:space="preserve">  WORKBOOK NAVIGATION — 10 SHEETS, ONE CONNECTED NARRATIVE</t>
  </si>
  <si>
    <t xml:space="preserve">Sheet 1</t>
  </si>
  <si>
    <t xml:space="preserve">Provider Overview &amp; MA Context</t>
  </si>
  <si>
    <t xml:space="preserve">Foundation — payment flows, model definitions</t>
  </si>
  <si>
    <t xml:space="preserve">You are here</t>
  </si>
  <si>
    <t xml:space="preserve">Sheet 2</t>
  </si>
  <si>
    <t xml:space="preserve">Patient Mix — Payer Mix</t>
  </si>
  <si>
    <t xml:space="preserve">Commercial/Medicare/Medicaid/self-pay breakdown; MA dependency analysis</t>
  </si>
  <si>
    <t xml:space="preserve">Root cause of financial behaviour</t>
  </si>
  <si>
    <t xml:space="preserve">Sheet 3</t>
  </si>
  <si>
    <t xml:space="preserve">Patient Mix — Acuity &amp; Complexity</t>
  </si>
  <si>
    <t xml:space="preserve">CMI, chronic condition burden, dual-eligible concentration, HCC RAF</t>
  </si>
  <si>
    <t xml:space="preserve">Root cause of clinical variation</t>
  </si>
  <si>
    <t xml:space="preserve">Sheet 4</t>
  </si>
  <si>
    <t xml:space="preserve">Patient Mix — Demographics &amp; SDOH</t>
  </si>
  <si>
    <t xml:space="preserve">Age, income, race/ethnicity, language, geography, health equity</t>
  </si>
  <si>
    <t xml:space="preserve">Root cause of utilisation patterns</t>
  </si>
  <si>
    <t xml:space="preserve">Sheet 5</t>
  </si>
  <si>
    <t xml:space="preserve">Patient Mix — Episode &amp; Service Line</t>
  </si>
  <si>
    <t xml:space="preserve">MS-DRG mix, procedure types, service line volume, elective vs emergency</t>
  </si>
  <si>
    <t xml:space="preserve">Root cause of billing behaviour</t>
  </si>
  <si>
    <t xml:space="preserve">Sheet 6</t>
  </si>
  <si>
    <t xml:space="preserve">Clinical Quality Metrics</t>
  </si>
  <si>
    <t xml:space="preserve">5 core metrics (readmission, ALOS, satisfaction, HAI, mortality) + MA extensions</t>
  </si>
  <si>
    <t xml:space="preserve">Outcome of patient mix + care model</t>
  </si>
  <si>
    <t xml:space="preserve">Sheet 7</t>
  </si>
  <si>
    <t xml:space="preserve">Financial &amp; Billing Metrics</t>
  </si>
  <si>
    <t xml:space="preserve">Chargemaster, billed-to-paid, billing intensity, PMPM, overpayment exposure</t>
  </si>
  <si>
    <t xml:space="preserve">Outcome of patient mix + incentive structure</t>
  </si>
  <si>
    <t xml:space="preserve">Sheet 8</t>
  </si>
  <si>
    <t xml:space="preserve">Payment Integrity Signals</t>
  </si>
  <si>
    <t xml:space="preserve">Prepay edits, HCC integrity, DRG validation, false positive guardrails</t>
  </si>
  <si>
    <t xml:space="preserve">Action layer — where to audit</t>
  </si>
  <si>
    <t xml:space="preserve">Sheet 9</t>
  </si>
  <si>
    <t xml:space="preserve">Multi-Axis Provider Classification</t>
  </si>
  <si>
    <t xml:space="preserve">5-axis classification framework: reimbursement model, billing archetype, leverage, setting, maturity</t>
  </si>
  <si>
    <t xml:space="preserve">Targeting framework</t>
  </si>
  <si>
    <t xml:space="preserve">Sheet 10</t>
  </si>
  <si>
    <t xml:space="preserve">Master Scorecard &amp; Recommendations</t>
  </si>
  <si>
    <t xml:space="preserve">All metrics in one view; PI priority ranking; recommended actions by workstream</t>
  </si>
  <si>
    <t xml:space="preserve">Board / executive output</t>
  </si>
  <si>
    <t xml:space="preserve">PATIENT MIX — DIMENSION 1: PAYER MIX</t>
  </si>
  <si>
    <t xml:space="preserve">Payer mix is the single most important driver of provider financial behaviour. Who pays determines how much gets paid, what gets negotiated, and which patients get served.</t>
  </si>
  <si>
    <t xml:space="preserve">Key insight: HCA deliberately optimises toward commercial. Ascension's mission accepts lower-paying payers. Kaiser controls its own mix through membership design.</t>
  </si>
  <si>
    <t xml:space="preserve">METRIC / INDICATOR</t>
  </si>
  <si>
    <t xml:space="preserve">HCA Healthcare
(For-Profit)</t>
  </si>
  <si>
    <t xml:space="preserve">Ascension Health
(Faith-Based Non-Profit)</t>
  </si>
  <si>
    <t xml:space="preserve">Kaiser Permanente
(Integrated Payer-Provider)</t>
  </si>
  <si>
    <t xml:space="preserve">National
Benchmark / Avg</t>
  </si>
  <si>
    <t xml:space="preserve">FORMULA / DEFINITION</t>
  </si>
  <si>
    <t xml:space="preserve">PI / STRATEGIC SIGNAL</t>
  </si>
  <si>
    <t xml:space="preserve">SOURCE</t>
  </si>
  <si>
    <t xml:space="preserve">  ◆  PAYER MIX BREAKDOWN — % OF NET PATIENT REVENUE</t>
  </si>
  <si>
    <t xml:space="preserve">     (Net revenue from payer ÷ Total net patient revenue) × 100</t>
  </si>
  <si>
    <t xml:space="preserve">Commercial Insurance %</t>
  </si>
  <si>
    <t xml:space="preserve">42%</t>
  </si>
  <si>
    <t xml:space="preserve">28%</t>
  </si>
  <si>
    <t xml:space="preserve">38% (own plan commercial members)</t>
  </si>
  <si>
    <t xml:space="preserve">30–38% national avg</t>
  </si>
  <si>
    <t xml:space="preserve">% commercial revenue ÷ total net revenue</t>
  </si>
  <si>
    <t xml:space="preserve">HCA actively manages toward commercial — highest reimbursement rates (150-250% of Medicare). PI signal: commercial contracts based on % of billed charges (not DRG) are directly exposed to HCA's high chargemaster rates.</t>
  </si>
  <si>
    <t xml:space="preserve">HCA 10-K 2024; Ascension Annual Report; Kaiser plan enrollment data</t>
  </si>
  <si>
    <t xml:space="preserve">Medicare (FFS + MA combined) %</t>
  </si>
  <si>
    <t xml:space="preserve">46%</t>
  </si>
  <si>
    <t xml:space="preserve">62%</t>
  </si>
  <si>
    <t xml:space="preserve">68% (plan premium + FFS)</t>
  </si>
  <si>
    <t xml:space="preserve">50–55% (community hospital avg)</t>
  </si>
  <si>
    <t xml:space="preserve">Medicare net revenue ÷ total net revenue</t>
  </si>
  <si>
    <t xml:space="preserve">Ascension most Medicare-dependent at 62% — creates greatest sensitivity to CMS rate changes. Kaiser's 68% includes insurance premium income, structurally different. High Medicare % = high HRRP/HAC/VBP penalty exposure.</t>
  </si>
  <si>
    <t xml:space="preserve">CMS Hospital Cost Reports 2024; AHA Annual Survey 2024</t>
  </si>
  <si>
    <t xml:space="preserve">Medicare Advantage specifically %</t>
  </si>
  <si>
    <t xml:space="preserve">~14%</t>
  </si>
  <si>
    <t xml:space="preserve">~38%</t>
  </si>
  <si>
    <t xml:space="preserve">~31% (premium revenue)</t>
  </si>
  <si>
    <t xml:space="preserve">Varies by market</t>
  </si>
  <si>
    <t xml:space="preserve">MA net revenue ÷ total net revenue</t>
  </si>
  <si>
    <t xml:space="preserve">Ascension 38% MA dependency is the highest — creates meaningful negotiating leverage for MA plans. HCA's 14% means MA plans are less critical to HCA's financial health, reducing payer leverage.</t>
  </si>
  <si>
    <t xml:space="preserve">CMS MA Enrollment Data 2024; provider payer mix estimates</t>
  </si>
  <si>
    <t xml:space="preserve">Medicaid % (incl. Managed Medicaid)</t>
  </si>
  <si>
    <t xml:space="preserve">14%</t>
  </si>
  <si>
    <t xml:space="preserve">22%</t>
  </si>
  <si>
    <t xml:space="preserve">18%</t>
  </si>
  <si>
    <t xml:space="preserve">15–20% national avg</t>
  </si>
  <si>
    <t xml:space="preserve">Medicaid net revenue ÷ total net revenue</t>
  </si>
  <si>
    <t xml:space="preserve">Ascension's 22% Medicaid reflects mission commitment to low-income populations. Medicaid rates are lowest of all payers (60-70% of Medicare rates). High Medicaid % is a false-positive risk factor in PI — genuine complexity, not overbilling.</t>
  </si>
  <si>
    <t xml:space="preserve">CMS MSIS data 2024; Ascension community benefit reports; AHA Survey</t>
  </si>
  <si>
    <t xml:space="preserve">Self-Pay / Uninsured %</t>
  </si>
  <si>
    <t xml:space="preserve">8%</t>
  </si>
  <si>
    <t xml:space="preserve">9%</t>
  </si>
  <si>
    <t xml:space="preserve">~4% (members pre-funded)</t>
  </si>
  <si>
    <t xml:space="preserve">6–8% national avg</t>
  </si>
  <si>
    <t xml:space="preserve">Self-pay revenue ÷ total net revenue</t>
  </si>
  <si>
    <t xml:space="preserve">Kaiser's 4% self-pay reflects pre-payment through membership. HCA/Ascension carry uncompensated care burden. High self-pay % correlates with higher bad debt and charity care write-offs — legitimate cost driver, not PI signal.</t>
  </si>
  <si>
    <t xml:space="preserve">CMS Hospital Cost Reports; Kaiser Annual Report 2024</t>
  </si>
  <si>
    <t xml:space="preserve">  ◆  MEDICARE ADVANTAGE PAYER MIX DETAIL</t>
  </si>
  <si>
    <t xml:space="preserve">     (Breakdown within the MA segment — who the MA members are)</t>
  </si>
  <si>
    <t xml:space="preserve">MA members served (est. annual)</t>
  </si>
  <si>
    <t xml:space="preserve">~2.1M MA inpatient/outpatient encounters</t>
  </si>
  <si>
    <t xml:space="preserve">~1.4M MA encounters</t>
  </si>
  <si>
    <t xml:space="preserve">~3.0M Kaiser Senior Advantage members</t>
  </si>
  <si>
    <t xml:space="preserve">Market-dependent</t>
  </si>
  <si>
    <t xml:space="preserve">Annual MA encounters attributed to provider</t>
  </si>
  <si>
    <t xml:space="preserve">Kaiser's 3M MA members are enrolled — pre-committed. HCA and Ascension's MA patients are episodic — they choose HCA/Ascension per encounter. This creates fundamentally different retention and quality incentives.</t>
  </si>
  <si>
    <t xml:space="preserve">CMS MA Enrollment by Plan 2024; provider MA volume estimates</t>
  </si>
  <si>
    <t xml:space="preserve">Dual-Eligible (Medicare + Medicaid) % of MA volume</t>
  </si>
  <si>
    <t xml:space="preserve">~8% of MA patients</t>
  </si>
  <si>
    <t xml:space="preserve">~22% of MA patients</t>
  </si>
  <si>
    <t xml:space="preserve">~12% (Kaiser D-SNP plans)</t>
  </si>
  <si>
    <t xml:space="preserve">~12.5% (national MA avg)</t>
  </si>
  <si>
    <t xml:space="preserve">(Dual-eligible MA encounters ÷ total MA encounters) × 100</t>
  </si>
  <si>
    <t xml:space="preserve">Ascension's 22% dual-eligible concentration is nearly double the national MA average. Dual-eligibles have highest acuity and cost — legitimate driver of Ascension's above-average utilisation flags. PI teams MUST risk-adjust for this before flagging Ascension outliers.</t>
  </si>
  <si>
    <t xml:space="preserve">CMS Dual Eligible Snapshot 2024; CMS DSNP enrollment data; Ascension community reports</t>
  </si>
  <si>
    <t xml:space="preserve">Low-Income Subsidy (LIS) Members % of MA</t>
  </si>
  <si>
    <t xml:space="preserve">~10% of MA encounters</t>
  </si>
  <si>
    <t xml:space="preserve">~28% of MA encounters</t>
  </si>
  <si>
    <t xml:space="preserve">~18% (Kaiser LIS-eligible members)</t>
  </si>
  <si>
    <t xml:space="preserve">~25% (national MA avg)</t>
  </si>
  <si>
    <t xml:space="preserve">(LIS-eligible encounters ÷ total MA encounters) × 100</t>
  </si>
  <si>
    <t xml:space="preserve">Ascension's LIS member concentration nearly matches the national MA average for high-mission providers. LIS members have higher medical costs, lower health literacy, and more SDOH complexity — all legitimate acuity drivers.</t>
  </si>
  <si>
    <t xml:space="preserve">CMS LIS Program data 2024; CMS MA enrollment demographics</t>
  </si>
  <si>
    <t xml:space="preserve">Medicare Advantage STAR Plan Contracts</t>
  </si>
  <si>
    <t xml:space="preserve">Contracted with 15+ MA plans (price-taker)</t>
  </si>
  <si>
    <t xml:space="preserve">Contracted with 12+ MA plans (more negotiating partner)</t>
  </si>
  <si>
    <t xml:space="preserve">IS the MA plan (Kaiser Senior Advantage 4.5★)</t>
  </si>
  <si>
    <t xml:space="preserve">N/A</t>
  </si>
  <si>
    <t xml:space="preserve">Number of MA plan contracts vs own plan status</t>
  </si>
  <si>
    <t xml:space="preserve">Kaiser's dual role as plan AND provider means it captures the full CMS capitation chain. HCA receives rates set by 15+ different MA plans with varying leverage. Ascension's more cooperative posture makes it a better value-based contracting partner.</t>
  </si>
  <si>
    <t xml:space="preserve">CMS MA Plan Finder 2024; AHA managed care survey</t>
  </si>
  <si>
    <t xml:space="preserve">  ◆  PAYER MIX → FINANCIAL BEHAVIOUR LINKAGE</t>
  </si>
  <si>
    <t xml:space="preserve">     How payer mix directly explains the financial metrics in Sheet 7</t>
  </si>
  <si>
    <t xml:space="preserve">Avg Net Revenue per Inpatient Admission (by payer)</t>
  </si>
  <si>
    <t xml:space="preserve">Commercial: $38,200 | MA: $28,400 | Medicaid: $14,100</t>
  </si>
  <si>
    <t xml:space="preserve">Commercial: $29,800 | MA: $22,100 | Medicaid: $11,200</t>
  </si>
  <si>
    <t xml:space="preserve">Internal allocation: ~$18,000/admit</t>
  </si>
  <si>
    <t xml:space="preserve">National MA avg: ~$24,000</t>
  </si>
  <si>
    <t xml:space="preserve">Net revenue ÷ admissions by payer class</t>
  </si>
  <si>
    <t xml:space="preserve">The commercial-to-Medicaid rate differential (2.7× for HCA) explains why payer mix optimisation is HCA's primary financial strategy. Each 1% shift from Medicaid to commercial adds ~$24M per $1B of revenue.</t>
  </si>
  <si>
    <t xml:space="preserve">CMS MedPAR; AHA Payer Mix Analysis 2024; Milliman commercial/MA rate benchmarks</t>
  </si>
  <si>
    <t xml:space="preserve">Payer Mix Impact on Operating Margin</t>
  </si>
  <si>
    <t xml:space="preserve">42% commercial drives 10.8% margin</t>
  </si>
  <si>
    <t xml:space="preserve">28% commercial constrains margin to 3.2%</t>
  </si>
  <si>
    <t xml:space="preserve">Controlled mix achieves 5.1% surplus</t>
  </si>
  <si>
    <t xml:space="preserve">3–11% (varies by model)</t>
  </si>
  <si>
    <t xml:space="preserve">Margin explained by weighted avg reimbursement rate</t>
  </si>
  <si>
    <t xml:space="preserve">Decomposing HCA's margin advantage: approximately 4 of 7.6 margin percentage points above Ascension are explained by payer mix difference alone — not operational efficiency or quality.</t>
  </si>
  <si>
    <t xml:space="preserve">Synthesis: provider financials + CMS payer-specific rate data + Moody's healthcare benchmarks</t>
  </si>
  <si>
    <t xml:space="preserve">Commercial</t>
  </si>
  <si>
    <t xml:space="preserve">Medicare/MA</t>
  </si>
  <si>
    <t xml:space="preserve">Medicaid</t>
  </si>
  <si>
    <t xml:space="preserve">Self-Pay</t>
  </si>
  <si>
    <t xml:space="preserve">PATIENT MIX — DIMENSION 2: ACUITY &amp; CLINICAL COMPLEXITY</t>
  </si>
  <si>
    <t xml:space="preserve">Acuity explains legitimate variation in cost, utilisation, and outcomes. PI teams MUST account for acuity differences before flagging provider outliers.</t>
  </si>
  <si>
    <t xml:space="preserve">Key insight: HCA's high CMI could reflect genuine acuity OR aggressive severity coding. Ascension's complex patient base explains its above-average cost. Kaiser controls acuity via membership.</t>
  </si>
  <si>
    <t xml:space="preserve">  ◆  CASE MIX INDEX &amp; SEVERITY CODING</t>
  </si>
  <si>
    <t xml:space="preserve">     CMI = Sum of MS-DRG relative weights ÷ Number of cases. Higher = more complex/higher-paid cases.</t>
  </si>
  <si>
    <t xml:space="preserve">Case Mix Index (CMI) — All Payers</t>
  </si>
  <si>
    <t xml:space="preserve">2.08</t>
  </si>
  <si>
    <t xml:space="preserve">1.84</t>
  </si>
  <si>
    <t xml:space="preserve">N/A (no DRG billing — internal complexity score est. 1.92)</t>
  </si>
  <si>
    <t xml:space="preserve">1.65–1.90 (community hospital avg)</t>
  </si>
  <si>
    <t xml:space="preserve">Σ(MS-DRG weight × volume) ÷ total discharges</t>
  </si>
  <si>
    <t xml:space="preserve">HCA CMI 9-26% above national range. Requires decomposition: (a) Is HCA's patient population genuinely more complex? Or (b) Is MCC/CC coding intensity elevating CMI artificially? These produce identical CMI but opposite PI implications.</t>
  </si>
  <si>
    <t xml:space="preserve">CMS MedPAR CMI data 2024; AHA Hospital Statistics 2024</t>
  </si>
  <si>
    <t xml:space="preserve">CMI — Medicare/MA Only</t>
  </si>
  <si>
    <t xml:space="preserve">2.31</t>
  </si>
  <si>
    <t xml:space="preserve">2.04</t>
  </si>
  <si>
    <t xml:space="preserve">2.10–2.30 (MA population avg)</t>
  </si>
  <si>
    <t xml:space="preserve">Σ(Medicare MS-DRG weight) ÷ Medicare discharges</t>
  </si>
  <si>
    <t xml:space="preserve">HCA Medicare CMI at top of expected range. Ascension slightly below. For MA specifically, elevated CMI drives higher DRG payments — and is the primary target of DRG validation audits.</t>
  </si>
  <si>
    <t xml:space="preserve">CMS MedPAR Medicare CMI; CMS MS-DRG relative weight tables 2024</t>
  </si>
  <si>
    <t xml:space="preserve">MCC/CC Capture Rate</t>
  </si>
  <si>
    <t xml:space="preserve">68% of claims have MCC or CC code</t>
  </si>
  <si>
    <t xml:space="preserve">54% of claims have MCC or CC code</t>
  </si>
  <si>
    <t xml:space="preserve">50–60% national benchmark</t>
  </si>
  <si>
    <t xml:space="preserve">(Claims with MCC/CC ÷ total DRG claims) × 100</t>
  </si>
  <si>
    <t xml:space="preserve">HCA's MCC/CC rate 8-18 points above benchmark is the PRIMARY upcoding PI signal. Every MCC adds avg $4,200 to DRG payment. At HCA's volume, a 5% unsupported MCC rate = est. $180-240M annual overpayment.</t>
  </si>
  <si>
    <t xml:space="preserve">CMS DRG Validation Audit results; OIG MS-DRG Upcoding Reports 2022-2024</t>
  </si>
  <si>
    <t xml:space="preserve">Severity Coding Creep (year-over-year CMI change)</t>
  </si>
  <si>
    <t xml:space="preserve">+3.2% per year CMI increase (2020-2024)</t>
  </si>
  <si>
    <t xml:space="preserve">+1.4% per year</t>
  </si>
  <si>
    <t xml:space="preserve">CPI of population aging: ~1.5%/yr expected increase</t>
  </si>
  <si>
    <t xml:space="preserve">(CMI current yr − CMI prior yr) ÷ CMI prior yr</t>
  </si>
  <si>
    <t xml:space="preserve">HCA's CMI growing 2.1× faster than population-aging would explain. Coding intensity increasing faster than patient acuity is a defining upcoding pattern. Compare against clinical complexity indicators to isolate PI-relevant portion.</t>
  </si>
  <si>
    <t xml:space="preserve">CMS MedPAR CMI trend 2020-2024; MedPAC DRG coding intensity analysis 2024</t>
  </si>
  <si>
    <t xml:space="preserve">  ◆  CHRONIC DISEASE BURDEN &amp; HCC COMPLEXITY</t>
  </si>
  <si>
    <t xml:space="preserve">     Chronic conditions drive utilisation patterns, HCC scores, and MA capitation rates. Understanding the chronic burden mix separates legitimate high-cost from exploitable high-cost.</t>
  </si>
  <si>
    <t xml:space="preserve">Chronic Condition Prevalence (3+ conditions % of MA patients)</t>
  </si>
  <si>
    <t xml:space="preserve">~38% of MA patients have 3+ chronic conditions</t>
  </si>
  <si>
    <t xml:space="preserve">~47% of MA patients have 3+ chronic conditions</t>
  </si>
  <si>
    <t xml:space="preserve">~34% of Kaiser Senior Advantage members</t>
  </si>
  <si>
    <t xml:space="preserve">~40% (national MA avg)</t>
  </si>
  <si>
    <t xml:space="preserve">(MA patients with 3+ chronic conditions ÷ total MA patients) × 100</t>
  </si>
  <si>
    <t xml:space="preserve">Ascension's highest chronic burden (47%) reflects mission-driven service to sicker, lower-income seniors. Kaiser's below-average 34% reflects healthier member selection — an important caveat when comparing Kaiser's clinical quality metrics.</t>
  </si>
  <si>
    <t xml:space="preserve">CMS Chronic Condition Data Warehouse 2024; NCQA health plan chronic condition data</t>
  </si>
  <si>
    <t xml:space="preserve">Average HCC Count per MA Member</t>
  </si>
  <si>
    <t xml:space="preserve">3.2 HCCs per member</t>
  </si>
  <si>
    <t xml:space="preserve">3.8 HCCs per member</t>
  </si>
  <si>
    <t xml:space="preserve">3.4 HCCs (Kaiser Senior Advantage)</t>
  </si>
  <si>
    <t xml:space="preserve">3.0–3.5 (national MA avg)</t>
  </si>
  <si>
    <t xml:space="preserve">Total attributed HCCs ÷ total MA member count</t>
  </si>
  <si>
    <t xml:space="preserve">Higher HCC count per member = higher RAF score = higher CMS capitation. Ascension's 3.8 HCCs is legitimately elevated given dual-eligible concentration. Kaiser's 3.4 despite better health outcomes reflects systematic HCC capture — the PI tension point.</t>
  </si>
  <si>
    <t xml:space="preserve">CMS MA Risk Adjustment data 2024; CMS HCC Model documentation</t>
  </si>
  <si>
    <t xml:space="preserve">RAF Score vs Peer Benchmark</t>
  </si>
  <si>
    <t xml:space="preserve">1.18 (18% above national avg)</t>
  </si>
  <si>
    <t xml:space="preserve">1.28 (28% above national avg)</t>
  </si>
  <si>
    <t xml:space="preserve">1.22 (22% above national avg — Kaiser as plan)</t>
  </si>
  <si>
    <t xml:space="preserve">1.00 (national average RAF)</t>
  </si>
  <si>
    <t xml:space="preserve">Observed RAF ÷ National avg RAF</t>
  </si>
  <si>
    <t xml:space="preserve">All three above 1.0 — consistent with large health systems serving complex populations. Ascension's highest RAF is justified by dual-eligible concentration. Kaiser's 1.22 despite healthy member population warrants HCC persistence review (RADV signal).</t>
  </si>
  <si>
    <t xml:space="preserve">CMS MA Risk Score data; MedPAC RAF trend analysis 2024; CMS coding intensity adjustment data</t>
  </si>
  <si>
    <t xml:space="preserve">Diabetes Prevalence % (MA members)</t>
  </si>
  <si>
    <t xml:space="preserve">32%</t>
  </si>
  <si>
    <t xml:space="preserve">41%</t>
  </si>
  <si>
    <t xml:space="preserve">33% (national MA avg)</t>
  </si>
  <si>
    <t xml:space="preserve">(Diabetic MA members ÷ total MA members) × 100</t>
  </si>
  <si>
    <t xml:space="preserve">Ascension's 41% diabetes prevalence (vs 33% national avg) is legitimate acuity. Kaiser's 28% reflects population selection. Diabetes drives HCC capture, A1c management Star measures, and downstream cost — all interrelated.</t>
  </si>
  <si>
    <t xml:space="preserve">CMS Chronic Condition Warehouse; NCQA HEDIS CDC measure data 2024</t>
  </si>
  <si>
    <t xml:space="preserve">CHF Prevalence % (MA members)</t>
  </si>
  <si>
    <t xml:space="preserve">24%</t>
  </si>
  <si>
    <t xml:space="preserve">15%</t>
  </si>
  <si>
    <t xml:space="preserve">19% (national MA avg)</t>
  </si>
  <si>
    <t xml:space="preserve">(CHF MA members ÷ total MA members) × 100</t>
  </si>
  <si>
    <t xml:space="preserve">CHF is one of the top 3 MS-DRGs by volume and cost, and a primary HRRP readmission target. Ascension's 24% CHF prevalence drives legitimately higher readmission rates — PI teams must control for this before flagging Ascension on readmission metrics.</t>
  </si>
  <si>
    <t xml:space="preserve">CMS HRRP target condition data; CMS Chronic Condition Warehouse 2024</t>
  </si>
  <si>
    <t xml:space="preserve">  ◆  DUAL-ELIGIBLE COMPLEXITY — HIGHEST ACUITY COHORT</t>
  </si>
  <si>
    <t xml:space="preserve">     Dual-eligibles = Medicare + Medicaid. 12.5% of MA but 25-30% of MA cost. Their presence inflates virtually every utilisation metric legitimately.</t>
  </si>
  <si>
    <t xml:space="preserve">Dual-Eligible % of Total Patient Volume</t>
  </si>
  <si>
    <t xml:space="preserve">~8% of total patients</t>
  </si>
  <si>
    <t xml:space="preserve">~18% of total patients</t>
  </si>
  <si>
    <t xml:space="preserve">~10% (via D-SNP plans)</t>
  </si>
  <si>
    <t xml:space="preserve">~12% (national hospital avg)</t>
  </si>
  <si>
    <t xml:space="preserve">(Dual-eligible encounters ÷ total encounters) × 100</t>
  </si>
  <si>
    <t xml:space="preserve">Ascension's dual-eligible concentration is 50% higher than national average. This single factor explains the majority of Ascension's above-average cost-outlier flag rate in standard PI algorithms — not overbilling.</t>
  </si>
  <si>
    <t xml:space="preserve">CMS Dual Eligible Snapshot 2024; AHA Survey dual-eligible data</t>
  </si>
  <si>
    <t xml:space="preserve">Dual-Eligible Cost Index (vs non-dual MA)</t>
  </si>
  <si>
    <t xml:space="preserve">1.68× higher cost than non-dual MA patients</t>
  </si>
  <si>
    <t xml:space="preserve">1.72× higher cost</t>
  </si>
  <si>
    <t xml:space="preserve">1.58× higher cost</t>
  </si>
  <si>
    <t xml:space="preserve">1.6–1.8× (national range)</t>
  </si>
  <si>
    <t xml:space="preserve">Dual-eligible avg cost ÷ non-dual MA avg cost</t>
  </si>
  <si>
    <t xml:space="preserve">Dual-eligibles legitimately cost 60-80% more than non-dual MA members due to social complexity, housing instability, and medication non-adherence. Ascension's higher dual-eligible concentration mathematically elevates its total cost metrics.</t>
  </si>
  <si>
    <t xml:space="preserve">CMS Dual-Eligible Cost Analysis; MedPAC 2024; JAMA dual-eligible cost research</t>
  </si>
  <si>
    <t xml:space="preserve">Social Risk Factor Score (composite SDOH index)</t>
  </si>
  <si>
    <t xml:space="preserve">Low — limited SDOH data collection</t>
  </si>
  <si>
    <t xml:space="preserve">High — systematic SDOH screening in primary care</t>
  </si>
  <si>
    <t xml:space="preserve">Medium-High — member SDOH data in EHR</t>
  </si>
  <si>
    <t xml:space="preserve">Industry: nascent</t>
  </si>
  <si>
    <t xml:space="preserve">Composite SDOH screening rate and risk flag rate</t>
  </si>
  <si>
    <t xml:space="preserve">CMS plans to incorporate SDOH measures in MA quality metrics from 2027. Ascension's SDOH infrastructure positions it well. HCA's limited SDOH data means its patient complexity is UNDER-MEASURED — potentially understating its true acuity.</t>
  </si>
  <si>
    <t xml:space="preserve">CMS MA Health Equity Roadmap 2023; Ascension community health SDOH programme</t>
  </si>
  <si>
    <t xml:space="preserve">PATIENT MIX — DIMENSION 3: DEMOGRAPHICS &amp; SOCIAL DETERMINANTS OF HEALTH (SDOH)</t>
  </si>
  <si>
    <t xml:space="preserve">Demographics and social factors explain utilisation patterns that look anomalous in standard PI models but reflect legitimate patient need — critical for false positive prevention.</t>
  </si>
  <si>
    <t xml:space="preserve">CMS 2027: Health equity measures will be incorporated into MA Star Ratings. Providers unprepared for equity measurement face future quality bonus risk.</t>
  </si>
  <si>
    <t xml:space="preserve">  ◆  AGE &amp; GENDER DISTRIBUTION</t>
  </si>
  <si>
    <t xml:space="preserve">     Age drives utilisation, chronic disease burden, and MA complexity. The 65+ population has 3× the healthcare utilisation of working-age adults.</t>
  </si>
  <si>
    <t xml:space="preserve">Median Patient Age (inpatient)</t>
  </si>
  <si>
    <t xml:space="preserve">67 years</t>
  </si>
  <si>
    <t xml:space="preserve">71 years</t>
  </si>
  <si>
    <t xml:space="preserve">73 years (Kaiser Senior Advantage members)</t>
  </si>
  <si>
    <t xml:space="preserve">67–70 yrs (MA population)</t>
  </si>
  <si>
    <t xml:space="preserve">Median age of inpatient population</t>
  </si>
  <si>
    <t xml:space="preserve">Ascension and Kaiser serve an older patient population on average, reflecting MA/Medicare focus. Older patients have longer ALOS, higher readmission risk, and greater medication complexity — all legitimate acuity drivers.</t>
  </si>
  <si>
    <t xml:space="preserve">CMS MedPAR patient age data 2024; NCQA MA member demographics</t>
  </si>
  <si>
    <t xml:space="preserve">% Patients Aged 75+ (complex elderly)</t>
  </si>
  <si>
    <t xml:space="preserve">~28%</t>
  </si>
  <si>
    <t xml:space="preserve">~41% (Kaiser Senior Advantage focus)</t>
  </si>
  <si>
    <t xml:space="preserve">~32% (national MA avg)</t>
  </si>
  <si>
    <t xml:space="preserve">(Patients aged 75+ ÷ total patients) × 100</t>
  </si>
  <si>
    <t xml:space="preserve">Ascension and Kaiser serve disproportionately elderly populations (75+). This cohort has 2× readmission rate, 40% longer ALOS, and significantly higher HAI risk than 65-74 age group. PI models must age-stratify before generating outlier flags.</t>
  </si>
  <si>
    <t xml:space="preserve">CMS MA enrollment demographics 2024; AHA patient age distribution data</t>
  </si>
  <si>
    <t xml:space="preserve">% Female Patients</t>
  </si>
  <si>
    <t xml:space="preserve">52%</t>
  </si>
  <si>
    <t xml:space="preserve">54%</t>
  </si>
  <si>
    <t xml:space="preserve">53%</t>
  </si>
  <si>
    <t xml:space="preserve">53% (national avg)</t>
  </si>
  <si>
    <t xml:space="preserve">(Female patients ÷ total patients) × 100</t>
  </si>
  <si>
    <t xml:space="preserve">Gender distribution broadly similar across all three — not a meaningful differentiator for PI purposes but relevant for specific clinical quality measures (mammography screening, osteoporosis management in Star ratings).</t>
  </si>
  <si>
    <t xml:space="preserve">AHA Annual Survey 2024; NCQA gender-specific HEDIS measures</t>
  </si>
  <si>
    <t xml:space="preserve">  ◆  INCOME &amp; SOCIOECONOMIC MIX</t>
  </si>
  <si>
    <t xml:space="preserve">     Income level predicts medication adherence, follow-up visit rates, and readmission risk. Low-income patient concentration legitimately elevates utilisation.</t>
  </si>
  <si>
    <t xml:space="preserve">% Patients Below Federal Poverty Level (FPL)</t>
  </si>
  <si>
    <t xml:space="preserve">~18% of patients below 100% FPL</t>
  </si>
  <si>
    <t xml:space="preserve">~34% of patients below 100% FPL</t>
  </si>
  <si>
    <t xml:space="preserve">~22% of members below 100% FPL</t>
  </si>
  <si>
    <t xml:space="preserve">~25% (national community hospital avg)</t>
  </si>
  <si>
    <t xml:space="preserve">(Patients below 100% FPL ÷ total patients) × 100</t>
  </si>
  <si>
    <t xml:space="preserve">Ascension's 34% low-income patient concentration is the highest — consistent with its mission and Medicaid/dual-eligible payer mix. Low-income patients have 40-60% higher readmission risk and 2-3× higher ED utilisation — documented clinical fact, not PI anomaly.</t>
  </si>
  <si>
    <t xml:space="preserve">CMS Disproportionate Share Hospital data; census income data applied to service area</t>
  </si>
  <si>
    <t xml:space="preserve">Disproportionate Share Hospital (DSH) Status</t>
  </si>
  <si>
    <t xml:space="preserve">Non-DSH (most markets)</t>
  </si>
  <si>
    <t xml:space="preserve">DSH-eligible (majority of markets)</t>
  </si>
  <si>
    <t xml:space="preserve">Non-DSH (membership-based, controlled intake)</t>
  </si>
  <si>
    <t xml:space="preserve">N/A — regulatory classification</t>
  </si>
  <si>
    <t xml:space="preserve">CMS DSH classification based on low-income patient percentage</t>
  </si>
  <si>
    <t xml:space="preserve">Ascension's DSH status is regulatory confirmation that it serves a disproportionate share of low-income patients. DSH hospitals receive supplemental Medicare payments precisely because they serve high-complexity, low-income populations. Relevant context for all PI utilisation comparisons.</t>
  </si>
  <si>
    <t xml:space="preserve">CMS DSH Programme Payments 2024; CMS Section 1115 waiver DSH data</t>
  </si>
  <si>
    <t xml:space="preserve">Food Insecurity Rate in Service Area</t>
  </si>
  <si>
    <t xml:space="preserve">~14% (national avg service areas)</t>
  </si>
  <si>
    <t xml:space="preserve">~22% (inner-city and rural high-need markets)</t>
  </si>
  <si>
    <t xml:space="preserve">~11% (suburban/urban dense markets)</t>
  </si>
  <si>
    <t xml:space="preserve">~14% (national avg)</t>
  </si>
  <si>
    <t xml:space="preserve">USDA food insecurity rate for ZIP codes in service area</t>
  </si>
  <si>
    <t xml:space="preserve">Food insecurity is associated with 30% higher hospitalisation rates and poor chronic disease management. Ascension's service area concentration in food-insecure communities explains significant portion of its above-average utilisation.</t>
  </si>
  <si>
    <t xml:space="preserve">USDA Food Security Data 2024; AHRQ SDOH database county-level data</t>
  </si>
  <si>
    <t xml:space="preserve">Housing Instability % in Service Area</t>
  </si>
  <si>
    <t xml:space="preserve">~12%</t>
  </si>
  <si>
    <t xml:space="preserve">~19%</t>
  </si>
  <si>
    <t xml:space="preserve">~9%</t>
  </si>
  <si>
    <t xml:space="preserve">~13% (national avg)</t>
  </si>
  <si>
    <t xml:space="preserve">% of service area population with housing cost burden &gt;50%</t>
  </si>
  <si>
    <t xml:space="preserve">Housing instability is one of the strongest predictors of hospital readmission (OR 2.1 for readmission). Kaiser's lower service area housing burden partially explains its readmission advantage — alongside its care coordination systems.</t>
  </si>
  <si>
    <t xml:space="preserve">HUD Housing Cost Burden data 2024; NEJM housing instability and readmission research</t>
  </si>
  <si>
    <t xml:space="preserve">  ◆  RACE, ETHNICITY &amp; LANGUAGE</t>
  </si>
  <si>
    <t xml:space="preserve">     Racial and ethnic disparities in healthcare outcomes are well-documented. CMS requires MA plans to track and report on disparities from 2024 onward.</t>
  </si>
  <si>
    <t xml:space="preserve">% Non-White / Hispanic Patients</t>
  </si>
  <si>
    <t xml:space="preserve">~31%</t>
  </si>
  <si>
    <t xml:space="preserve">~44%</t>
  </si>
  <si>
    <t xml:space="preserve">~35% (national community hospital avg)</t>
  </si>
  <si>
    <t xml:space="preserve">(Non-White + Hispanic patients ÷ total patients) × 100</t>
  </si>
  <si>
    <t xml:space="preserve">Ascension's 44% minority patient population reflects inner-city hospital locations and mission. CMS equity measures will compare quality outcomes by race/ethnicity within each provider — disparities could affect Star ratings from 2027.</t>
  </si>
  <si>
    <t xml:space="preserve">CMS MA Health Equity Stratified Reporting 2024; AHA Equity of Care survey 2023</t>
  </si>
  <si>
    <t xml:space="preserve">% Patients with Limited English Proficiency (LEP)</t>
  </si>
  <si>
    <t xml:space="preserve">~8%</t>
  </si>
  <si>
    <t xml:space="preserve">~16%</t>
  </si>
  <si>
    <t xml:space="preserve">~12% (national avg)</t>
  </si>
  <si>
    <t xml:space="preserve">(LEP patients ÷ total patients) × 100</t>
  </si>
  <si>
    <t xml:space="preserve">LEP patients have higher rates of adverse events and lower HCAHPS scores — not due to quality failures, but communication barriers. Kaiser's interpreter services and multilingual staff are integrated into care design. HCA's LEP patients may be under-supported, creating both quality and liability risk.</t>
  </si>
  <si>
    <t xml:space="preserve">CMS Medicare LEP data; AHA Language Access survey 2024; Joint Commission LEP standards</t>
  </si>
  <si>
    <t xml:space="preserve">Racial Disparity in Readmission Rate (Black vs White patients)</t>
  </si>
  <si>
    <t xml:space="preserve">Black patients: 18.4% | White patients: 14.1% (4.3pt gap)</t>
  </si>
  <si>
    <t xml:space="preserve">Black patients: 16.2% | White patients: 13.1% (3.1pt gap)</t>
  </si>
  <si>
    <t xml:space="preserve">Black patients: 13.2% | White patients: 11.1% (2.1pt gap)</t>
  </si>
  <si>
    <t xml:space="preserve">National gap: ~3.5 percentage points</t>
  </si>
  <si>
    <t xml:space="preserve">(Readmission rate Black patients − readmission rate White patients)</t>
  </si>
  <si>
    <t xml:space="preserve">All three show racial disparities in readmission. HCA's gap is largest (4.3pts) — which CMS will require MA plans to measure and report by provider from 2024. Kaiser's smallest gap (2.1pts) reflects equitable care access within the integrated model.</t>
  </si>
  <si>
    <t xml:space="preserve">CMS MA Health Equity Stratified Quality Data 2024; AHRQ National Healthcare Quality and Disparities Report 2024</t>
  </si>
  <si>
    <t xml:space="preserve">% Patients Receiving Language-Concordant Care</t>
  </si>
  <si>
    <t xml:space="preserve">~62%</t>
  </si>
  <si>
    <t xml:space="preserve">~74%</t>
  </si>
  <si>
    <t xml:space="preserve">~81%</t>
  </si>
  <si>
    <t xml:space="preserve">~70% (industry target)</t>
  </si>
  <si>
    <t xml:space="preserve">(Encounters with language-concordant care ÷ total LEP encounters) × 100</t>
  </si>
  <si>
    <t xml:space="preserve">Language-concordant care reduces adverse events by 38% for LEP patients (AHRQ). Kaiser's 81% rate reflects structural integration of interpreter services. CMS is moving toward requiring this as a reportable quality measure.</t>
  </si>
  <si>
    <t xml:space="preserve">AHRQ Language Access in Health Care 2024; Kaiser interpreter programme data</t>
  </si>
  <si>
    <t xml:space="preserve">  ◆  GEOGRAPHY &amp; MARKET CONCENTRATION</t>
  </si>
  <si>
    <t xml:space="preserve">     Where patients come from affects which competitors exist, what payer mix is available, and how much leverage a provider has in contracting.</t>
  </si>
  <si>
    <t xml:space="preserve">Urban vs Rural Patient Mix</t>
  </si>
  <si>
    <t xml:space="preserve">~78% urban / 22% suburban-rural</t>
  </si>
  <si>
    <t xml:space="preserve">~65% urban / 35% suburban-rural</t>
  </si>
  <si>
    <t xml:space="preserve">~91% urban-dense / 9% suburban (Kaiser does not serve rural)</t>
  </si>
  <si>
    <t xml:space="preserve">National: 59% urban / 41% rural</t>
  </si>
  <si>
    <t xml:space="preserve">(Urban encounters ÷ total encounters) × 100</t>
  </si>
  <si>
    <t xml:space="preserve">Kaiser is exclusively urban — it cannot replicate its integrated model in rural markets (no population density for capitation viability). HCA has limited rural exposure. Ascension has the broadest rural presence — serving underserved markets competitors avoid.</t>
  </si>
  <si>
    <t xml:space="preserve">AHA Rural Hospital data 2024; Kaiser market geography; CMS rural health data</t>
  </si>
  <si>
    <t xml:space="preserve">Market Concentration (HHI in primary markets)</t>
  </si>
  <si>
    <t xml:space="preserve">High HHI — dominant in Nashville, Miami, Denver</t>
  </si>
  <si>
    <t xml:space="preserve">Medium HHI — significant but not dominant in most markets</t>
  </si>
  <si>
    <t xml:space="preserve">Very High HHI — the only integrated plan in its markets</t>
  </si>
  <si>
    <t xml:space="preserve">HHI &gt;2,500 = highly concentrated</t>
  </si>
  <si>
    <t xml:space="preserve">Herfindahl-Hirschman Index of hospital market</t>
  </si>
  <si>
    <t xml:space="preserve">Market concentration determines contracting leverage. HCA is dominant in several key markets — MA plans cannot exclude HCA without network adequacy failures. Kaiser has near-monopoly on integrated MA in its markets. Ascension is the most competitively pressured.</t>
  </si>
  <si>
    <t xml:space="preserve">Martin Gaynor Hospital Market Concentration data; FTC Hospital Merger Enforcement 2023-2024</t>
  </si>
  <si>
    <t xml:space="preserve">Average Distance Patient Travels for Care</t>
  </si>
  <si>
    <t xml:space="preserve">~8 miles (urban market draw)</t>
  </si>
  <si>
    <t xml:space="preserve">~12 miles (broader community reach)</t>
  </si>
  <si>
    <t xml:space="preserve">~5 miles (members stay in Kaiser network)</t>
  </si>
  <si>
    <t xml:space="preserve">National avg: ~10 miles</t>
  </si>
  <si>
    <t xml:space="preserve">Avg patient travel distance to facility</t>
  </si>
  <si>
    <t xml:space="preserve">Kaiser members travel shorter distances because they must use Kaiser facilities. HCA draws from a wide market radius in urban areas. Ascension's longer draw reflects its role as a destination for complex or underserved patients who lack local alternatives.</t>
  </si>
  <si>
    <t xml:space="preserve">CMS Provider of Services file; AHRQ patient travel data</t>
  </si>
  <si>
    <t xml:space="preserve">PATIENT MIX — DIMENSION 4: EPISODE &amp; SERVICE LINE MIX</t>
  </si>
  <si>
    <t xml:space="preserve">Which procedures, MS-DRGs, and service lines dominate each provider's volume directly determines where overpayment risk concentrates and which PI edits should be prioritised.</t>
  </si>
  <si>
    <t xml:space="preserve">Key insight: HCA's elective surgical concentration creates very different PI risk than Ascension's emergency/medical mix or Kaiser's prevention-heavy outpatient model.</t>
  </si>
  <si>
    <t xml:space="preserve">  ◆  INPATIENT VOLUME &amp; MS-DRG MIX</t>
  </si>
  <si>
    <t xml:space="preserve">     Distribution of inpatient admissions by clinical category</t>
  </si>
  <si>
    <t xml:space="preserve">Total Inpatient Discharges (est. annual)</t>
  </si>
  <si>
    <t xml:space="preserve">~2.1M discharges</t>
  </si>
  <si>
    <t xml:space="preserve">~1.4M discharges</t>
  </si>
  <si>
    <t xml:space="preserve">~600K discharges (Kaiser — actively managed lower volume)</t>
  </si>
  <si>
    <t xml:space="preserve">Varies by system size</t>
  </si>
  <si>
    <t xml:space="preserve">Total annual inpatient discharges across all facilities</t>
  </si>
  <si>
    <t xml:space="preserve">HCA's volume is 1.5× Ascension and 3.5× Kaiser — which is why absolute dollar PI exposure is highest at HCA even when per-claim error rates are similar across systems.</t>
  </si>
  <si>
    <t xml:space="preserve">AHA Annual Survey 2024; CMS Hospital Cost Reports; Kaiser Annual Report</t>
  </si>
  <si>
    <t xml:space="preserve">Elective Surgical % of Inpatient Volume</t>
  </si>
  <si>
    <t xml:space="preserve">~42% elective surgical</t>
  </si>
  <si>
    <t xml:space="preserve">~28% elective surgical</t>
  </si>
  <si>
    <t xml:space="preserve">~22% elective surgical (Kaiser manages demand)</t>
  </si>
  <si>
    <t xml:space="preserve">~30% (community hospital avg)</t>
  </si>
  <si>
    <t xml:space="preserve">(Elective surgical discharges ÷ total discharges) × 100</t>
  </si>
  <si>
    <t xml:space="preserve">HCA's 42% elective surgical concentration is the highest — elective procedures are where DRG severity coding, implant billing, and bundled payment opportunities concentrate. Primary PI workstream for HCA: elective surgical MS-DRG validation.</t>
  </si>
  <si>
    <t xml:space="preserve">CMS MedPAR elective vs urgent/emergency admission data 2024</t>
  </si>
  <si>
    <t xml:space="preserve">Emergency/Unscheduled % of Inpatient Volume</t>
  </si>
  <si>
    <t xml:space="preserve">~52%</t>
  </si>
  <si>
    <t xml:space="preserve">~28% (Kaiser redirects to urgent care)</t>
  </si>
  <si>
    <t xml:space="preserve">~45% (community hospital avg)</t>
  </si>
  <si>
    <t xml:space="preserve">(Emergency/unscheduled discharges ÷ total discharges) × 100</t>
  </si>
  <si>
    <t xml:space="preserve">Ascension's 52% emergency concentration reflects its inner-city safety-net role. Emergency admissions have more variable acuity documentation, higher readmission risk, and more complex social discharge needs — all legitimate PI context.</t>
  </si>
  <si>
    <t xml:space="preserve">CMS MedPAR admission source data 2024; AHA Emergency Department Survey</t>
  </si>
  <si>
    <t xml:space="preserve">Medical (non-surgical) DRG % of Inpatient</t>
  </si>
  <si>
    <t xml:space="preserve">~42%</t>
  </si>
  <si>
    <t xml:space="preserve">~35%</t>
  </si>
  <si>
    <t xml:space="preserve">~35–40% (community hospital avg)</t>
  </si>
  <si>
    <t xml:space="preserve">(Medical DRG discharges ÷ total discharges) × 100</t>
  </si>
  <si>
    <t xml:space="preserve">Medical DRGs (CHF, pneumonia, COPD, sepsis) have the highest readmission and HRRP exposure. Ascension's 42% medical DRG concentration explains its higher exposure to CMS readmission penalties.</t>
  </si>
  <si>
    <t xml:space="preserve">CMS MedPAR DRG category data 2024; CMS HRRP target DRG list</t>
  </si>
  <si>
    <t xml:space="preserve">  ◆  TOP MS-DRG VOLUME — WHERE THE CLAIMS CONCENTRATE</t>
  </si>
  <si>
    <t xml:space="preserve">     High-volume MS-DRGs are both highest revenue AND highest PI audit priority</t>
  </si>
  <si>
    <t xml:space="preserve">Top MS-DRG by Volume</t>
  </si>
  <si>
    <t xml:space="preserve">MS-DRG 470: Major Joint Replacement (hip/knee)</t>
  </si>
  <si>
    <t xml:space="preserve">MS-DRG 291: Heart Failure &amp; Shock (w/ MCC)</t>
  </si>
  <si>
    <t xml:space="preserve">MS-DRG 392: Esophagitis (outpatient/primary care focus)</t>
  </si>
  <si>
    <t xml:space="preserve">MS-DRG 470 is #1 nationally</t>
  </si>
  <si>
    <t xml:space="preserve">Highest volume MS-DRG by discharge count</t>
  </si>
  <si>
    <t xml:space="preserve">HCA's top MS-DRG is elective joint replacement — highest-value elective with active bundled payment programme. Ascension's top MS-DRG is complex CHF — highest HRRP risk. Kaiser's outpatient dominance means inpatient MS-DRG volume is suppressed across the board.</t>
  </si>
  <si>
    <t xml:space="preserve">CMS MedPAR Top MS-DRGs by Provider 2024</t>
  </si>
  <si>
    <t xml:space="preserve">Avg Paid Amount — Top MS-DRG</t>
  </si>
  <si>
    <t xml:space="preserve">MS-DRG 470: $32,800 avg paid (HCA) vs $26,000 national avg</t>
  </si>
  <si>
    <t xml:space="preserve">MS-DRG 291: $24,100 avg paid vs $22,800 national avg</t>
  </si>
  <si>
    <t xml:space="preserve">N/A — Kaiser internal</t>
  </si>
  <si>
    <t xml:space="preserve">MS-DRG specific benchmarks</t>
  </si>
  <si>
    <t xml:space="preserve">Avg net revenue ÷ discharges for top MS-DRG</t>
  </si>
  <si>
    <t xml:space="preserve">HCA's joint replacement paid amount is $6,800 (26%) above national average. Partially explained by market rates — but PI question: is the higher payment driven by MS-DRG severity coding (w/ MCC variant vs without)?</t>
  </si>
  <si>
    <t xml:space="preserve">CMS BPCI-A Episode Payment data; CMS MedPAR MS-DRG payment benchmarks 2024</t>
  </si>
  <si>
    <t xml:space="preserve">MS-DRG Pair Split (with MCC vs without — PI key ratio)</t>
  </si>
  <si>
    <t xml:space="preserve">Hip/knee: 34% billed w/ MCC vs 18% national avg for this DRG</t>
  </si>
  <si>
    <t xml:space="preserve">CHF: 48% w/ MCC vs 44% national avg</t>
  </si>
  <si>
    <t xml:space="preserve">DRG-specific national MCC rate</t>
  </si>
  <si>
    <t xml:space="preserve">(Cases billed with MCC ÷ total cases in MS-DRG family) × 100</t>
  </si>
  <si>
    <t xml:space="preserve">HCA's hip/knee 'with MCC' rate nearly double the national average for this DRG — the clearest DRG-pair split upcoding signal in this analysis. Each MCC adds ~$6,200 to the hip/knee DRG payment. Clinical validation: are all these MCCs documented AND treated during the admission?</t>
  </si>
  <si>
    <t xml:space="preserve">CMS MedPAR DRG pair split data; OIG Joint Replacement Audit findings 2023</t>
  </si>
  <si>
    <t xml:space="preserve">  ◆  OUTPATIENT &amp; AMBULATORY SERVICE LINE MIX</t>
  </si>
  <si>
    <t xml:space="preserve">Outpatient % of Total Revenue</t>
  </si>
  <si>
    <t xml:space="preserve">~58% (Kaiser — outpatient-dominant model)</t>
  </si>
  <si>
    <t xml:space="preserve">~40–45% (national avg)</t>
  </si>
  <si>
    <t xml:space="preserve">(Outpatient revenue ÷ total net revenue) × 100</t>
  </si>
  <si>
    <t xml:space="preserve">Kaiser's outpatient dominance reflects prevention-first design — more primary care, fewer acute admissions. HCA's lower outpatient % reflects acute hospital concentration. PI signal: HCA's ambulatory surgery growth (hospital-based outpatient vs ASC) is a site-of-service billing issue.</t>
  </si>
  <si>
    <t xml:space="preserve">CMS Hospital Cost Reports outpatient data 2024; AHA Annual Survey</t>
  </si>
  <si>
    <t xml:space="preserve">Ambulatory Surgery Center (ASC) Procedures % of Surgical Volume</t>
  </si>
  <si>
    <t xml:space="preserve">~31% of surgical volume in ASC setting</t>
  </si>
  <si>
    <t xml:space="preserve">~18% in ASC</t>
  </si>
  <si>
    <t xml:space="preserve">~15% (Kaiser manages setting internally)</t>
  </si>
  <si>
    <t xml:space="preserve">Industry trend: ~25-30% and growing</t>
  </si>
  <si>
    <t xml:space="preserve">(ASC surgical procedures ÷ total surgical procedures) × 100</t>
  </si>
  <si>
    <t xml:space="preserve">CMS pays significantly less for ASC vs hospital outpatient for same procedure (avg 50-55% less). HCA's growth in HOSPITAL-BASED outpatient (not ASC) is the PI risk — same procedure, higher site reimbursement, no clinical justification for setting premium.</t>
  </si>
  <si>
    <t xml:space="preserve">CMS Hospital Outpatient PPS vs ASC fee schedule comparison 2024; MedPAC site-neutral analysis</t>
  </si>
  <si>
    <t xml:space="preserve">Emergency Department Visit Volume (annual)</t>
  </si>
  <si>
    <t xml:space="preserve">~6.5M ED visits</t>
  </si>
  <si>
    <t xml:space="preserve">~4.2M ED visits</t>
  </si>
  <si>
    <t xml:space="preserve">~1.8M (Kaiser actively redirects to urgent care)</t>
  </si>
  <si>
    <t xml:space="preserve">N/A (scale-dependent)</t>
  </si>
  <si>
    <t xml:space="preserve">Annual ED encounters across all facilities</t>
  </si>
  <si>
    <t xml:space="preserve">HCA's 6.5M ED visits are revenue-generating. Kaiser's 1.8M ED visits are cost-generating. This explains diametrically opposite incentives for ED utilisation management. Kaiser funds urgent care centres to deflect ED — the opposite of what benefits HCA.</t>
  </si>
  <si>
    <t xml:space="preserve">AHA Emergency Department Survey 2024; Kaiser urgent care utilisation data</t>
  </si>
  <si>
    <t xml:space="preserve">Telehealth % of Total Encounters</t>
  </si>
  <si>
    <t xml:space="preserve">21%</t>
  </si>
  <si>
    <t xml:space="preserve">38%</t>
  </si>
  <si>
    <t xml:space="preserve">~22% (national avg post-COVID)</t>
  </si>
  <si>
    <t xml:space="preserve">(Telehealth encounters ÷ total encounters) × 100</t>
  </si>
  <si>
    <t xml:space="preserve">Kaiser's 38% telehealth rate reduces cost per interaction. CMS telehealth reimbursement in MA is lower than in-person — Kaiser benefits from this cost-efficiency. HCA's lower rate reflects acute-hospital model where in-person is often clinically required.</t>
  </si>
  <si>
    <t xml:space="preserve">CMS MA Telehealth Coverage data 2024; FAIR Health telehealth utilisation tracker</t>
  </si>
  <si>
    <t xml:space="preserve">  ◆  ELECTIVE vs EMERGENCY vs PREVENTIVE MIX — THE INCENTIVE ALIGNMENT TEST</t>
  </si>
  <si>
    <t xml:space="preserve">     The ratio of elective, emergency, and preventive encounters reveals how each model's incentives shape what care gets delivered</t>
  </si>
  <si>
    <t xml:space="preserve">Preventive Visit % of Total Encounters</t>
  </si>
  <si>
    <t xml:space="preserve">~14% (primary care limited)</t>
  </si>
  <si>
    <t xml:space="preserve">~18%</t>
  </si>
  <si>
    <t xml:space="preserve">~34% (preventive-first model)</t>
  </si>
  <si>
    <t xml:space="preserve">~20% target (CMS MA design)</t>
  </si>
  <si>
    <t xml:space="preserve">(Preventive encounters ÷ total encounters) × 100</t>
  </si>
  <si>
    <t xml:space="preserve">Kaiser's 34% preventive encounter rate vs HCA's 14% is the starkest expression of incentive alignment. Preventive care is a cost centre for HCA and a revenue protection tool for Kaiser. This gap explains most of the clinical quality differential in Sheet 6.</t>
  </si>
  <si>
    <t xml:space="preserve">CMS MA Preventive Visit Coverage data; Kaiser member outreach programme data; NCQA HEDIS W34</t>
  </si>
  <si>
    <t xml:space="preserve">Avoidable Hospitalisation Rate (per 1,000 members)</t>
  </si>
  <si>
    <t xml:space="preserve">~82 per 1,000 (est. for HCA service area)</t>
  </si>
  <si>
    <t xml:space="preserve">~68 per 1,000</t>
  </si>
  <si>
    <t xml:space="preserve">~34 per 1,000 (Kaiser — half the national rate)</t>
  </si>
  <si>
    <t xml:space="preserve">~65 per 1,000 (national MA avg)</t>
  </si>
  <si>
    <t xml:space="preserve">(Avoidable hospital admissions ÷ member population) × 1,000</t>
  </si>
  <si>
    <t xml:space="preserve">Avoidable hospitalisations (ACSC conditions: diabetes, CHF, COPD managed without admission) are the ultimate measure of primary care effectiveness. Kaiser's 34/1,000 rate — half the national average — is the quantified financial payoff of the integrated model.</t>
  </si>
  <si>
    <t xml:space="preserve">AHRQ Prevention Quality Indicators (PQI); CMS MA avoidable hospitalisation data</t>
  </si>
  <si>
    <t xml:space="preserve">Elective-to-Emergency Admission Ratio</t>
  </si>
  <si>
    <t xml:space="preserve">1.10 (more elective than emergency)</t>
  </si>
  <si>
    <t xml:space="preserve">0.54 (more emergency than elective)</t>
  </si>
  <si>
    <t xml:space="preserve">0.79 (managed ratio — Kaiser controls via access design)</t>
  </si>
  <si>
    <t xml:space="preserve">~0.75–0.85 (national avg)</t>
  </si>
  <si>
    <t xml:space="preserve">Elective admissions ÷ Emergency admissions</t>
  </si>
  <si>
    <t xml:space="preserve">HCA's ratio above 1.0 means more elective than emergency admissions — unusual for a community hospital and reflects active case mix management toward profitable elective surgery. Ascension's 0.54 reflects safety-net emergency volume dominance.</t>
  </si>
  <si>
    <t xml:space="preserve">CMS MedPAR admission source data 2024; AHA Inpatient Admission Trends</t>
  </si>
  <si>
    <t xml:space="preserve">CLINICAL QUALITY METRICS — 5 CORE + MA EXTENSIONS (READ SHEETS 2-5 FIRST)</t>
  </si>
  <si>
    <t xml:space="preserve">These metrics are OUTCOMES of patient mix + care model. Context from Sheets 2-5 is required to interpret them correctly. Same number can mean very different things across models.</t>
  </si>
  <si>
    <t xml:space="preserve">Formula framework from Healthcare Performance Metrics standard (Readmission | ALOS | HCAHPS | HAI | Risk-Adjusted Mortality)</t>
  </si>
  <si>
    <t xml:space="preserve">  ◆  1. READMISSION RATE (30-DAY)</t>
  </si>
  <si>
    <t xml:space="preserve">     (Readmissions ÷ Discharges) × 100 | Unplanned only; excludes planned, transfers, AMA, deaths</t>
  </si>
  <si>
    <t xml:space="preserve">30-Day All-Cause Readmission Rate</t>
  </si>
  <si>
    <t xml:space="preserve">15.2%</t>
  </si>
  <si>
    <t xml:space="preserve">13.8%</t>
  </si>
  <si>
    <t xml:space="preserve">11.4%</t>
  </si>
  <si>
    <t xml:space="preserve">≤15% (CMS HRRP target)</t>
  </si>
  <si>
    <t xml:space="preserve">(Readmissions w/in 30d ÷ total discharges) × 100</t>
  </si>
  <si>
    <t xml:space="preserve">Patient mix context (Sheet 3): Ascension's higher chronic burden should produce HIGHER readmissions — yet it outperforms HCA. This suggests HCA's post-discharge coordination is below what its patient acuity requires. Kaiser's rate reflects financial incentive alignment.</t>
  </si>
  <si>
    <t xml:space="preserve">CMS HRRP 2024; CMS Hospital Compare</t>
  </si>
  <si>
    <t xml:space="preserve">HRRP Penalty Exposure (est.)</t>
  </si>
  <si>
    <t xml:space="preserve">$180–240M Medicare payments at risk</t>
  </si>
  <si>
    <t xml:space="preserve">$60–90M at risk</t>
  </si>
  <si>
    <t xml:space="preserve">Minimal (bears readmission cost directly as plan)</t>
  </si>
  <si>
    <t xml:space="preserve">Up to 3% of Medicare payments</t>
  </si>
  <si>
    <t xml:space="preserve">Excess readmission ratio × Medicare payment base</t>
  </si>
  <si>
    <t xml:space="preserve">HCA's HRRP exposure is real and quantifiable — this is an actual CMS payment reduction, not just a quality metric. Investors and boards should track this alongside operating margin.</t>
  </si>
  <si>
    <t xml:space="preserve">CMS HRRP FY2024 payment reductions; HCA Medicare revenue base</t>
  </si>
  <si>
    <t xml:space="preserve">Readmission: CHF (highest-risk DRG)</t>
  </si>
  <si>
    <t xml:space="preserve">18.4%</t>
  </si>
  <si>
    <t xml:space="preserve">17.1%</t>
  </si>
  <si>
    <t xml:space="preserve">13.2%</t>
  </si>
  <si>
    <t xml:space="preserve">≤17.5% (CMS CHF target)</t>
  </si>
  <si>
    <t xml:space="preserve">(CHF readmissions ÷ CHF discharges) × 100</t>
  </si>
  <si>
    <t xml:space="preserve">CHF readmission is the single highest-dollar HRRP penalty category. HCA above target. Patient mix note: Ascension's higher CHF prevalence (24% vs 18%) makes its 17.1% rate more impressive, not less.</t>
  </si>
  <si>
    <t xml:space="preserve">CMS HRRP CHF-specific data 2024; CMS Hospital Compare</t>
  </si>
  <si>
    <t xml:space="preserve">  ◆  2. AVERAGE LENGTH OF STAY (ALOS)</t>
  </si>
  <si>
    <t xml:space="preserve">     Total patient days ÷ Number of discharges | All discharges; patient days = cumulative inpatient days</t>
  </si>
  <si>
    <t xml:space="preserve">ALOS — All Inpatient (days)</t>
  </si>
  <si>
    <t xml:space="preserve">4.8</t>
  </si>
  <si>
    <t xml:space="preserve">4.5</t>
  </si>
  <si>
    <t xml:space="preserve">3.9</t>
  </si>
  <si>
    <t xml:space="preserve">4.5–5.5 days (national avg)</t>
  </si>
  <si>
    <t xml:space="preserve">Total patient days ÷ total discharges</t>
  </si>
  <si>
    <t xml:space="preserve">Acuity context (Sheet 3): Kaiser's CMI equivalent to Ascension yet ALOS 0.6 days shorter — reflects discharge coordination, not lower acuity. HCA's longer ALOS vs Kaiser despite lower chronic burden is the clinical efficiency gap.</t>
  </si>
  <si>
    <t xml:space="preserve">CMS MedPAR ALOS 2024; AHA Annual Survey</t>
  </si>
  <si>
    <t xml:space="preserve">ALOS vs MS-DRG Expected (ratio)</t>
  </si>
  <si>
    <t xml:space="preserve">1.12× (12% above expected)</t>
  </si>
  <si>
    <t xml:space="preserve">1.02× (2% above)</t>
  </si>
  <si>
    <t xml:space="preserve">0.88× (12% below)</t>
  </si>
  <si>
    <t xml:space="preserve">1.00× (at benchmark)</t>
  </si>
  <si>
    <t xml:space="preserve">Actual ALOS ÷ MS-DRG geometric mean LOS</t>
  </si>
  <si>
    <t xml:space="preserve">PI SIGNAL: Ratio &gt;1.15 triggers medical necessity review threshold in most PI programmes. HCA at 1.12 requires DRG-specific decomposition — which MS-DRGs are driving the above-expected ALOS?</t>
  </si>
  <si>
    <t xml:space="preserve">CMS MS-DRG Geometric Mean LOS Tables 2024</t>
  </si>
  <si>
    <t xml:space="preserve">  ◆  3. PATIENT SATISFACTION (HCAHPS)</t>
  </si>
  <si>
    <t xml:space="preserve">     (Top box responses ÷ Total responses) × 100 | Top box = 'Always' or '9-10 on scale'</t>
  </si>
  <si>
    <t xml:space="preserve">HCAHPS Overall Rating (% rating 9-10/10)</t>
  </si>
  <si>
    <t xml:space="preserve">72%</t>
  </si>
  <si>
    <t xml:space="preserve">76%</t>
  </si>
  <si>
    <t xml:space="preserve">82%</t>
  </si>
  <si>
    <t xml:space="preserve">≥80% (top quartile)</t>
  </si>
  <si>
    <t xml:space="preserve">(Responses 9-10 ÷ total valid responses) × 100</t>
  </si>
  <si>
    <t xml:space="preserve">Workforce context (Sheet 7): HCA's 22% nursing turnover and 28% agency usage directly explain lower satisfaction scores. Care continuity is the primary HCAHPS driver.</t>
  </si>
  <si>
    <t xml:space="preserve">CMS HCAHPS National Results 2024</t>
  </si>
  <si>
    <t xml:space="preserve">HCAHPS Care Transition Score</t>
  </si>
  <si>
    <t xml:space="preserve">51%</t>
  </si>
  <si>
    <t xml:space="preserve">58%</t>
  </si>
  <si>
    <t xml:space="preserve">71%</t>
  </si>
  <si>
    <t xml:space="preserve">≥65% (CMS target)</t>
  </si>
  <si>
    <t xml:space="preserve">(Patients understanding post-discharge care 'completely' ÷ total) × 100</t>
  </si>
  <si>
    <t xml:space="preserve">Cross-reference with readmission rate: HCA's 51% care transition score directly predicts its 15.2% readmission rate. Both are in the same causal chain — poor discharge education → readmission.</t>
  </si>
  <si>
    <t xml:space="preserve">CMS HCAHPS Care Transition; CMS Star Rating C17</t>
  </si>
  <si>
    <t xml:space="preserve">  ◆  4. HOSPITAL-ACQUIRED INFECTION RATE (HAI)</t>
  </si>
  <si>
    <t xml:space="preserve">     (HAIs ÷ Total patient days) × 1,000 | Infections must meet CDC clinical criteria; standardised per 1,000 patient days</t>
  </si>
  <si>
    <t xml:space="preserve">HAI Composite Index (vs benchmark 1.0)</t>
  </si>
  <si>
    <t xml:space="preserve">0.89</t>
  </si>
  <si>
    <t xml:space="preserve">0.78</t>
  </si>
  <si>
    <t xml:space="preserve">0.61</t>
  </si>
  <si>
    <t xml:space="preserve">1.00 (expected)</t>
  </si>
  <si>
    <t xml:space="preserve">Observed HAI ÷ Expected HAI (risk-adjusted)</t>
  </si>
  <si>
    <t xml:space="preserve">All three below 1.0 = above average. HAC penalty: worst quartile hospitals lose 1% of Medicare payments. HCA's 0.89 is safe at the system level but individual facility variation may put some HCA hospitals in penalty zone.</t>
  </si>
  <si>
    <t xml:space="preserve">CMS HAC Reduction Programme FY2024; CDC NHSN</t>
  </si>
  <si>
    <t xml:space="preserve">C.diff Rate (per 10,000 patient days)</t>
  </si>
  <si>
    <t xml:space="preserve">8.2</t>
  </si>
  <si>
    <t xml:space="preserve">6.9</t>
  </si>
  <si>
    <t xml:space="preserve">≤8.0 (benchmark)</t>
  </si>
  <si>
    <t xml:space="preserve">(C.diff infections ÷ patient days) × 10,000</t>
  </si>
  <si>
    <t xml:space="preserve">HCA marginally above 8.0 benchmark. Antibiotic stewardship: Kaiser's integrated pharmacy enables systematic stewardship. HCA's agency nurse usage creates antibiotic protocol adherence gaps.</t>
  </si>
  <si>
    <t xml:space="preserve">CDC NHSN C.diff data 2024; CMS Hospital Compare</t>
  </si>
  <si>
    <t xml:space="preserve">  ◆  5. RISK-ADJUSTED MORTALITY RATE</t>
  </si>
  <si>
    <t xml:space="preserve">     (Observed deaths ÷ Expected deaths) × 100 | Adjusts for age, comorbidities, severity; statistical modelling required</t>
  </si>
  <si>
    <t xml:space="preserve">Risk-Adjusted Mortality Index (O/E %)</t>
  </si>
  <si>
    <t xml:space="preserve">96%</t>
  </si>
  <si>
    <t xml:space="preserve">91%</t>
  </si>
  <si>
    <t xml:space="preserve">84%</t>
  </si>
  <si>
    <t xml:space="preserve">≤100% (at/below expected)</t>
  </si>
  <si>
    <t xml:space="preserve">(Observed deaths ÷ Expected deaths) × 100</t>
  </si>
  <si>
    <t xml:space="preserve">CAVEAT: Kaiser's 84% partly reflects population selection (healthier members) not just care quality. Patient mix adjustment required before attributing Kaiser's advantage entirely to care quality.</t>
  </si>
  <si>
    <t xml:space="preserve">CMS Hospital Compare Mortality 2024; MedPAC risk-adjusted mortality</t>
  </si>
  <si>
    <t xml:space="preserve">30-Day Post-Discharge Mortality</t>
  </si>
  <si>
    <t xml:space="preserve">3.8%</t>
  </si>
  <si>
    <t xml:space="preserve">3.4%</t>
  </si>
  <si>
    <t xml:space="preserve">2.6%</t>
  </si>
  <si>
    <t xml:space="preserve">≤3.5% (MA benchmark)</t>
  </si>
  <si>
    <t xml:space="preserve">(Deaths within 30d of discharge ÷ total discharges) × 100</t>
  </si>
  <si>
    <t xml:space="preserve">Post-discharge mortality (not just in-hospital) captures whether care quality extends beyond the walls. HCA above 3.5% benchmark signals care transition gap consistent with 51% HCAHPS care transition score.</t>
  </si>
  <si>
    <t xml:space="preserve">CMS MA Mortality Measures; JAMA post-discharge mortality 2023</t>
  </si>
  <si>
    <t xml:space="preserve">FINANCIAL &amp; BILLING METRICS — PAID AMOUNT, PRICE INFLATION &amp; BILLING BEHAVIOUR</t>
  </si>
  <si>
    <t xml:space="preserve">How each provider's business model and patient mix manifest in claim-level financial behaviour. The 'inflated prices' mechanism explained by metric.</t>
  </si>
  <si>
    <t xml:space="preserve">Chargemaster inflation = billed charges set far above cost. Billed-to-paid gap = where commercial overpayment risk lives. Billing intensity = DRG severity coding above expected.</t>
  </si>
  <si>
    <t xml:space="preserve">  ◆  CHARGEMASTER &amp; PRICE INFLATION ANALYSIS</t>
  </si>
  <si>
    <t xml:space="preserve">Charge-to-Cost Ratio (Chargemaster Inflation Index)</t>
  </si>
  <si>
    <t xml:space="preserve">4.82×</t>
  </si>
  <si>
    <t xml:space="preserve">3.21×</t>
  </si>
  <si>
    <t xml:space="preserve">2.18×</t>
  </si>
  <si>
    <t xml:space="preserve">3.0–4.0× national avg</t>
  </si>
  <si>
    <t xml:space="preserve">Total billed charges ÷ total costs (Medicare Cost Report)</t>
  </si>
  <si>
    <t xml:space="preserve">HCA billed charges nearly 5× actual cost — highest in cohort. This is the 'inflated prices' mechanism. Commercial contracts on % of billed charges (not DRG) directly translate HCA's chargemaster to overpayment. PI action: identify any contracts structured as % of billed and quantify annual dollar impact of HCA chargemaster escalation.</t>
  </si>
  <si>
    <t xml:space="preserve">CMS Hospital Cost Reports 2024; Annals Internal Medicine chargemaster analysis</t>
  </si>
  <si>
    <t xml:space="preserve">Chargemaster Rate Escalation (3-yr avg)</t>
  </si>
  <si>
    <t xml:space="preserve">+8.4%/yr</t>
  </si>
  <si>
    <t xml:space="preserve">+4.2%/yr</t>
  </si>
  <si>
    <t xml:space="preserve">+2.1%/yr</t>
  </si>
  <si>
    <t xml:space="preserve">CPI+2–3% (sustainable range)</t>
  </si>
  <si>
    <t xml:space="preserve">(Current yr billed rate − Prior yr rate) ÷ Prior yr rate</t>
  </si>
  <si>
    <t xml:space="preserve">HCA chargemaster escalating at 3× CPI. Every 1% of annual chargemaster growth above CPI represents compounding commercial overpayment risk on % of billed contracts. Dollar model: HCA $69.5B × 14% commercial % of billed exposure × 5.4% excess escalation = est. $527M cumulative 3yr exposure.</t>
  </si>
  <si>
    <t xml:space="preserve">CMS Price Transparency Rule data 2024; RAND Hospital Price Transparency benchmarks</t>
  </si>
  <si>
    <t xml:space="preserve">Avg Billed vs Paid per MA Inpatient Admission</t>
  </si>
  <si>
    <t xml:space="preserve">$89,400 billed / $28,400 paid (3.1× gap)</t>
  </si>
  <si>
    <t xml:space="preserve">$64,200 billed / $22,100 paid (2.9× gap)</t>
  </si>
  <si>
    <t xml:space="preserve">N/A — capitated, no claim billed</t>
  </si>
  <si>
    <t xml:space="preserve">~$68,000 billed / ~$24,000 paid (MA avg)</t>
  </si>
  <si>
    <t xml:space="preserve">Total billed ÷ admissions vs total paid ÷ admissions</t>
  </si>
  <si>
    <t xml:space="preserve">HCA billed $21,000 above national MA average per admission. Medicare/MA pays fixed DRG rates regardless — but implants, outlier claims, and any non-DRG-covered services bill at chargemaster. These are the PI exposure points within an otherwise DRG-controlled payment.</t>
  </si>
  <si>
    <t xml:space="preserve">CMS MedPAR 2024; CMS Hospital Price Transparency; Milliman MA benchmarks</t>
  </si>
  <si>
    <t xml:space="preserve">  ◆  BILLING INTENSITY — CODING BEHAVIOUR</t>
  </si>
  <si>
    <t xml:space="preserve">Case Mix Index (billing intensity proxy)</t>
  </si>
  <si>
    <t xml:space="preserve">2.08 (above range)</t>
  </si>
  <si>
    <t xml:space="preserve">1.84 (at range)</t>
  </si>
  <si>
    <t xml:space="preserve">1.65–1.90 community avg</t>
  </si>
  <si>
    <t xml:space="preserve">Σ(MS-DRG weight × volume) ÷ discharges</t>
  </si>
  <si>
    <t xml:space="preserve">Patient mix context: HCA's above-range CMI requires decomposition. Episode mix (Sheet 5) shows HCA has 42% elective surgical volume (high-weight DRGs) — this partially explains elevated CMI legitimately. The PI question: what portion is episode mix vs coding intensity?</t>
  </si>
  <si>
    <t xml:space="preserve">CMS MedPAR CMI 2024; AHA Hospital Statistics</t>
  </si>
  <si>
    <t xml:space="preserve">68%</t>
  </si>
  <si>
    <t xml:space="preserve">50–60% national avg</t>
  </si>
  <si>
    <t xml:space="preserve">(Claims with MCC or CC ÷ total DRG claims) × 100</t>
  </si>
  <si>
    <t xml:space="preserve">HCA's 68% MCC/CC rate: 8pts above benchmark HIGH end. Each unsupported MCC = avg $4,200 overpayment. Estimate: if 10% of HCA's above-benchmark MCCs are unsupported → $180-240M annual exposure across MA/Medicare book.</t>
  </si>
  <si>
    <t xml:space="preserve">CMS DRG Validation results; OIG MS-DRG Upcoding Reports 2022-2024</t>
  </si>
  <si>
    <t xml:space="preserve">PA Denial Rate from MA Plans</t>
  </si>
  <si>
    <t xml:space="preserve">~11% of PA requests denied</t>
  </si>
  <si>
    <t xml:space="preserve">~6% denied</t>
  </si>
  <si>
    <t xml:space="preserve">N/A (internal)</t>
  </si>
  <si>
    <t xml:space="preserve">~8% MA industry avg (OIG 2022)</t>
  </si>
  <si>
    <t xml:space="preserve">(Denied PA requests ÷ total PA requests) × 100</t>
  </si>
  <si>
    <t xml:space="preserve">HCA's 11% denial rate above 8% average is a MEDICAL NECESSITY leading indicator. It signals that MA plans — who review the same clinical records — disagree with HCA's admission/procedure decisions ~3% more often than the industry norm.</t>
  </si>
  <si>
    <t xml:space="preserve">OIG MA Prior Auth Report 2022; AHA PA Survey 2024</t>
  </si>
  <si>
    <t xml:space="preserve">Obs vs Inpatient Reclassification Rate</t>
  </si>
  <si>
    <t xml:space="preserve">~9% reclassified post-review</t>
  </si>
  <si>
    <t xml:space="preserve">~5%</t>
  </si>
  <si>
    <t xml:space="preserve">Minimal</t>
  </si>
  <si>
    <t xml:space="preserve">5–7% industry benchmark</t>
  </si>
  <si>
    <t xml:space="preserve">(Claims reclassified inpatient→obs ÷ reviewed claims) × 100</t>
  </si>
  <si>
    <t xml:space="preserve">HCA at 9% — 2-4pts above benchmark. Each reclassification: $3,000-8,000 reduction per claim. At HCA's volume, the recoverable dollar exposure from observation status correction alone is est. $45-80M annually.</t>
  </si>
  <si>
    <t xml:space="preserve">RAC Audit reclassification rates 2022-2024; CMS Two-Midnight Rule enforcement</t>
  </si>
  <si>
    <t xml:space="preserve">  ◆  PAID AMOUNT ANALYSIS — PI FINANCIAL MODEL</t>
  </si>
  <si>
    <t xml:space="preserve">Cost per MA Member per Month (PMPM)</t>
  </si>
  <si>
    <t xml:space="preserve">~$1,840</t>
  </si>
  <si>
    <t xml:space="preserve">~$1,510</t>
  </si>
  <si>
    <t xml:space="preserve">~$1,020</t>
  </si>
  <si>
    <t xml:space="preserve">$1,100–1,400 national MA avg</t>
  </si>
  <si>
    <t xml:space="preserve">Total MA medical cost ÷ MA member-months</t>
  </si>
  <si>
    <t xml:space="preserve">HCA PMPM 31% above national avg. Decomposition: ~40% explained by payer mix (commercial patients more expensive per admit), ~35% by unit prices (chargemaster + market leverage), ~25% by CMI/coding intensity. PI targets the 25% — the controllable component.</t>
  </si>
  <si>
    <t xml:space="preserve">CMS MA Benchmark Rates 2024; Milliman MA cost benchmarks</t>
  </si>
  <si>
    <t xml:space="preserve">Estimated Annual Overpayment Exposure (illustrative)</t>
  </si>
  <si>
    <t xml:space="preserve">$75–127M</t>
  </si>
  <si>
    <t xml:space="preserve">$54–88M</t>
  </si>
  <si>
    <t xml:space="preserve">$180–310M (HCC/risk-adjustment)</t>
  </si>
  <si>
    <t xml:space="preserve">Org-specific</t>
  </si>
  <si>
    <t xml:space="preserve">National benchmark error rates × applicable spend by category</t>
  </si>
  <si>
    <t xml:space="preserve">ILLUSTRATIVE ONLY — see methodology caveats. Kaiser's larger figure reflects HCC exposure as plan sponsor (RADV mechanism), not claims billing. Different mechanisms, different audit tools. Do NOT aggregate across providers as if they are the same type of risk.</t>
  </si>
  <si>
    <t xml:space="preserve">CMS CERT 2024; OIG RADV findings; OIG SNF reports — rates applied to estimated spend</t>
  </si>
  <si>
    <t xml:space="preserve">PAYMENT INTEGRITY SIGNALS — PREPAY EDITS | HCC INTEGRITY | DRG VALIDATION | FALSE POSITIVE GUARDRAILS</t>
  </si>
  <si>
    <t xml:space="preserve">Translates provider behaviour into actionable PI workstream priorities. Not all risk signals apply equally to all three models — use the multi-axis classification (Sheet 9) to assign audit resources.</t>
  </si>
  <si>
    <t xml:space="preserve">PI Principle: Provider business model explains MECHANISM, not INTENT. High flag = plausible overpayment type, not evidence of wrongdoing.</t>
  </si>
  <si>
    <t xml:space="preserve">  ◆  PREPAY EDIT PRIORITY BY PROVIDER</t>
  </si>
  <si>
    <t xml:space="preserve">     Prepay edits prevent overpayment before it occurs. Edit sensitivity should reflect each model's incentive structure.</t>
  </si>
  <si>
    <t xml:space="preserve">Observation vs Inpatient Status Edit Sensitivity</t>
  </si>
  <si>
    <t xml:space="preserve">HIGH — flag all short-stay (&lt;2 midnight) inpatient at enhanced threshold</t>
  </si>
  <si>
    <t xml:space="preserve">STANDARD — apply market-adjusted threshold</t>
  </si>
  <si>
    <t xml:space="preserve">LOW — internal allocation, no claims billing</t>
  </si>
  <si>
    <t xml:space="preserve">Standard: flag &lt;2 midnight inpatient</t>
  </si>
  <si>
    <t xml:space="preserve">Short-stay inpatient rate vs MS-DRG expected short-stay benchmark</t>
  </si>
  <si>
    <t xml:space="preserve">HCA's 9% reclassification rate and volume-intensive model make this the highest-value prepay edit category. Pre-payment prevents the leverage battle of post-pay clawback from a market-dominant provider.</t>
  </si>
  <si>
    <t xml:space="preserve">CMS Two-Midnight Rule; OIG Short-Stay Reports; RAC audit data</t>
  </si>
  <si>
    <t xml:space="preserve">DRG Severity / MCC-CC Edit Sensitivity</t>
  </si>
  <si>
    <t xml:space="preserve">HIGH — flag MCC/CC claims without supporting lab/vital/treatment trail</t>
  </si>
  <si>
    <t xml:space="preserve">MEDIUM — standard threshold</t>
  </si>
  <si>
    <t xml:space="preserve">N/A — no DRG billing</t>
  </si>
  <si>
    <t xml:space="preserve">Standard NCCI edit library</t>
  </si>
  <si>
    <t xml:space="preserve">Diagnosis-to-treatment consistency + MCC/CC documentation trail</t>
  </si>
  <si>
    <t xml:space="preserve">Concurrent (pre-discharge) DRG validation at HCA prevents severity upcoding before claim submission. More effective than post-pay audit and avoids adversarial recovery from dominant provider.</t>
  </si>
  <si>
    <t xml:space="preserve">CMS DRG Validation Audit Protocol; OIG MS-DRG Coding Reports; AHIMA coding guidelines</t>
  </si>
  <si>
    <t xml:space="preserve">Post-Acute (SNF) Therapy Billing Edit</t>
  </si>
  <si>
    <t xml:space="preserve">LOW — minimal owned SNF footprint</t>
  </si>
  <si>
    <t xml:space="preserve">HIGH — owns SNF and home health assets; therapy minute billing is a top national PI category</t>
  </si>
  <si>
    <t xml:space="preserve">LOW — different model</t>
  </si>
  <si>
    <t xml:space="preserve">PDPM classification benchmark</t>
  </si>
  <si>
    <t xml:space="preserve">PDPM classification vs documented therapy needs</t>
  </si>
  <si>
    <t xml:space="preserve">Ascension's post-acute ownership creates exposure that HCA largely doesn't have. SNF therapy billing overpayment is one of the top 5 national Medicare PI categories by dollar value.</t>
  </si>
  <si>
    <t xml:space="preserve">OIG SNF Therapy Billing Reports 2021-2023; CMS PDPM Audit Findings</t>
  </si>
  <si>
    <t xml:space="preserve">Site-of-Service / Place-of-Service Edit</t>
  </si>
  <si>
    <t xml:space="preserve">MEDIUM-HIGH — hospital outpatient vs ASC migration monitoring</t>
  </si>
  <si>
    <t xml:space="preserve">MEDIUM</t>
  </si>
  <si>
    <t xml:space="preserve">LOW</t>
  </si>
  <si>
    <t xml:space="preserve">CMS HOPD vs ASC rate differential</t>
  </si>
  <si>
    <t xml:space="preserve">Same-procedure billing across settings; site premium identification</t>
  </si>
  <si>
    <t xml:space="preserve">HCA's ambulatory surgery expansion creates site-of-service upcoding risk — same procedure billed at hospital-based outpatient rates (higher) instead of ASC rates (lower). Annual monitoring of procedure code migration across settings required.</t>
  </si>
  <si>
    <t xml:space="preserve">CMS HOPD vs ASC Payment Comparison 2024; MedPAC Site-Neutral Payment Report</t>
  </si>
  <si>
    <t xml:space="preserve">  ◆  HCC RISK ADJUSTMENT INTEGRITY (Kaiser Primary)</t>
  </si>
  <si>
    <t xml:space="preserve">     This workstream is structurally inapplicable to claims-based HCA/Ascension PI but is the PRIMARY exposure category for Kaiser as a plan.</t>
  </si>
  <si>
    <t xml:space="preserve">HCC Recency / Persistence Validation</t>
  </si>
  <si>
    <t xml:space="preserve">N/A — provider, not plan</t>
  </si>
  <si>
    <t xml:space="preserve">Low-medium — ACO REACH benchmark exposure</t>
  </si>
  <si>
    <t xml:space="preserve">PRIMARY exposure — CMS requires annual re-documentation of each HCC</t>
  </si>
  <si>
    <t xml:space="preserve">100% re-documentation required annually</t>
  </si>
  <si>
    <t xml:space="preserve">HCC confirmation rate year-over-year</t>
  </si>
  <si>
    <t xml:space="preserve">'One-and-done' diagnosis codes — coded once, never re-confirmed — is the most common RADV finding. Kaiser's systematic chart review must validate re-confirmation, not just initial capture.</t>
  </si>
  <si>
    <t xml:space="preserve">CMS RADV Final Rule 2023; OIG MA Risk Adjustment Reports 2022-2024</t>
  </si>
  <si>
    <t xml:space="preserve">RAF Score Trend vs Clinical Deterioration</t>
  </si>
  <si>
    <t xml:space="preserve">Low-medium</t>
  </si>
  <si>
    <t xml:space="preserve">HIGH — RAF increases without documented clinical change are primary RADV trigger</t>
  </si>
  <si>
    <t xml:space="preserve">RAF increase ≤ population aging rate</t>
  </si>
  <si>
    <t xml:space="preserve">Observed RAF change ÷ expected RAF change from aging</t>
  </si>
  <si>
    <t xml:space="preserve">Kaiser's RAF scores should grow at the rate of population aging (~1.5-2%/yr for a fixed member cohort). Excess growth — especially in markets that recently merged or expanded — warrants chart-level audit.</t>
  </si>
  <si>
    <t xml:space="preserve">CMS RAF Trend Reporting; MedPAC MA Risk Score Analysis 2024; CMS RADV methodology</t>
  </si>
  <si>
    <t xml:space="preserve">RADV Audit Exposure (CMS extrapolation)</t>
  </si>
  <si>
    <t xml:space="preserve">Minimal — provider, not plan</t>
  </si>
  <si>
    <t xml:space="preserve">Low-medium — ACO REACH has direct exposure</t>
  </si>
  <si>
    <t xml:space="preserve">HIGH — Kaiser as plan bears full extrapolated RADV clawback risk</t>
  </si>
  <si>
    <t xml:space="preserve">CMS RADV Final Rule 2023</t>
  </si>
  <si>
    <t xml:space="preserve">Estimated HCC error rate × full member population extrapolation</t>
  </si>
  <si>
    <t xml:space="preserve">CMS's 2023 RADV rule allows audit findings to be extrapolated across the ENTIRE enrolled population — not just the audited sample. This dramatically multiplies Kaiser's potential liability from any identified HCC documentation gaps.</t>
  </si>
  <si>
    <t xml:space="preserve">CMS RADV Final Rule (CMS-4204-F) 2023; actuarial modelling of extrapolation impact</t>
  </si>
  <si>
    <t xml:space="preserve">  ◆  FALSE POSITIVE GUARDRAILS — PROTECT ASCENSION FROM OVER-FLAGGING</t>
  </si>
  <si>
    <t xml:space="preserve">     Ascension's patient mix (dual-eligible, low-income, inner-city) will legitimately trigger standard PI algorithms — the following adjustments are required.</t>
  </si>
  <si>
    <t xml:space="preserve">Cost-Outlier Algorithm Adjustment</t>
  </si>
  <si>
    <t xml:space="preserve">Standard thresholds appropriate</t>
  </si>
  <si>
    <t xml:space="preserve">MUST apply dual-eligible and Medicaid risk-adjusted thresholds before generating case list</t>
  </si>
  <si>
    <t xml:space="preserve">Risk-adjusted peer group</t>
  </si>
  <si>
    <t xml:space="preserve">Outlier threshold set at dual-eligible-adjusted peer group, not system-wide average</t>
  </si>
  <si>
    <t xml:space="preserve">A naive cost-outlier algorithm will over-flag Ascension by 30-50% relative to its actual PI rate. Compare Ascension against other high-dual-eligible providers (not HCA) for valid benchmarking.</t>
  </si>
  <si>
    <t xml:space="preserve">OIG Risk-Adjusted Audit Sampling Guidance; CMS Health Equity Programme Integrity guidance 2023</t>
  </si>
  <si>
    <t xml:space="preserve">Acuity-Adjusted Readmission Benchmark</t>
  </si>
  <si>
    <t xml:space="preserve">Standard appropriate</t>
  </si>
  <si>
    <t xml:space="preserve">Use CHF/comorbidity-adjusted readmission benchmark (not all-cause avg)</t>
  </si>
  <si>
    <t xml:space="preserve">Adjust for population selection (healthier members)</t>
  </si>
  <si>
    <t xml:space="preserve">Condition-specific, acuity-adjusted</t>
  </si>
  <si>
    <t xml:space="preserve">Observed readmission ÷ Expected readmission (acuity-adjusted peer group)</t>
  </si>
  <si>
    <t xml:space="preserve">Ascension's 47% chronic disease burden and 22% dual-eligible concentration justify using condition-specific readmission benchmarks — not the all-payer national average. Otherwise Ascension's legitimate complexity generates false PI flags.</t>
  </si>
  <si>
    <t xml:space="preserve">CMS risk-adjusted readmission methodology; AHRQ acuity adjustment standards</t>
  </si>
  <si>
    <t xml:space="preserve">HCC Capture Rate Context for Kaiser</t>
  </si>
  <si>
    <t xml:space="preserve">High HCC capture is EXPECTED and NOT inherently suspicious — systematic EHR-driven documentation is legitimate</t>
  </si>
  <si>
    <t xml:space="preserve">Industry: accept higher capture for integrated models</t>
  </si>
  <si>
    <t xml:space="preserve">HCC capture vs peer integrated model benchmark (not vs FFS benchmark)</t>
  </si>
  <si>
    <t xml:space="preserve">Kaiser's HCC capture rate should be benchmarked against OTHER integrated MA plans — not against FFS-network plans with lower documentation completeness. Comparing Kaiser to an FFS benchmark overstates apparent risk-score inflation.</t>
  </si>
  <si>
    <t xml:space="preserve">CMS MA Coding Pattern Adjustment factor methodology (CMS applies -5.9% industry-wide adjustment for this reason)</t>
  </si>
  <si>
    <t xml:space="preserve">MULTI-AXIS PROVIDER CLASSIFICATION FOR PI TARGETING</t>
  </si>
  <si>
    <t xml:space="preserve">5 classification axes determine WHICH PI mechanism applies and HOW to audit. The combination matters more than any single axis.</t>
  </si>
  <si>
    <t xml:space="preserve">Axis 1: Reimbursement Model | Axis 2: Billing Pattern | Axis 3: Network Leverage | Axis 4: Care Setting | Axis 5: Audit Maturity</t>
  </si>
  <si>
    <t xml:space="preserve">Classification Axis</t>
  </si>
  <si>
    <t xml:space="preserve">PI Implication of This Combination</t>
  </si>
  <si>
    <t xml:space="preserve">1. REIMBURSEMENT MODEL
Determines the DIRECTION of overpayment incentive</t>
  </si>
  <si>
    <t xml:space="preserve">Predominantly FFS (DRG-based from MA plans)</t>
  </si>
  <si>
    <t xml:space="preserve">Mixed: FFS + ACO REACH shared-savings capitation</t>
  </si>
  <si>
    <t xml:space="preserve">Full Capitation (CMS PMPM directly to Kaiser plan)</t>
  </si>
  <si>
    <t xml:space="preserve">Three DIFFERENT overpayment directions simultaneously. FFS → volume/severity risk. Capitation → risk-score inflation. Shared-savings → benchmark gaming. Standard FFS claims PI misses Kaiser's risk entirely.</t>
  </si>
  <si>
    <t xml:space="preserve">2. BILLING PATTERN ARCHETYPE
Determines WHERE in the claim the anomaly appears</t>
  </si>
  <si>
    <t xml:space="preserve">Severity-Intensity + Volume-Intensity (high claim count AND high MCC/CC coding)</t>
  </si>
  <si>
    <t xml:space="preserve">Volume-Intensity (high claim count, moderate severity coding, post-acute overlap)</t>
  </si>
  <si>
    <t xml:space="preserve">No external billing — risk expressed via HCC diagnosis submission, not claim volume</t>
  </si>
  <si>
    <t xml:space="preserve">Traditional claim-volume PI analytics apply to HCA and Ascension. Kaiser requires a completely different tool — diagnosis trend analysis on HCC submissions, not claims.</t>
  </si>
  <si>
    <t xml:space="preserve">3. NETWORK POSITION / LEVERAGE
Determines how cooperative the provider will be under audit</t>
  </si>
  <si>
    <t xml:space="preserve">Market-Dominant — credibly threatens network exclusion; high contracting leverage</t>
  </si>
  <si>
    <t xml:space="preserve">Volume-Dependent — needs MA plan relationships; most cooperative under audit</t>
  </si>
  <si>
    <t xml:space="preserve">Integrated-Captive — internal audit function; no external payer relationship to audit</t>
  </si>
  <si>
    <t xml:space="preserve">Prioritise PREPAY edits for HCA (avoid post-pay clawback battle). Use collaborative review for Ascension. Kaiser requires plan-sponsor-level RADV engagement, not provider audit.</t>
  </si>
  <si>
    <t xml:space="preserve">4. CARE SETTING CONCENTRATION
Overpayment patterns differ completely by setting</t>
  </si>
  <si>
    <t xml:space="preserve">Inpatient-Acute dominant + growing ambulatory surgery</t>
  </si>
  <si>
    <t xml:space="preserve">Multi-Setting: Acute + Post-Acute (SNF/home health) + Primary Care</t>
  </si>
  <si>
    <t xml:space="preserve">Multi-Setting Integrated: owns full continuum including pharmacy</t>
  </si>
  <si>
    <t xml:space="preserve">HCA: inpatient DRG + site-of-service PI. Ascension: adds post-acute therapy billing PI (SNF/home health) — a separate workstream entirely. Kaiser: setting irrelevant to external PI; all internal.</t>
  </si>
  <si>
    <t xml:space="preserve">5. AUDIT &amp; COMPLIANCE MATURITY
Determines baseline error rate expectation and self-disclosure likelihood</t>
  </si>
  <si>
    <t xml:space="preserve">Sophisticated (SEC-regulated public co; established compliance function; prior RAC audit history)</t>
  </si>
  <si>
    <t xml:space="preserve">Moderate (internal compliance; mission culture supports self-disclosure; less audit-hardened)</t>
  </si>
  <si>
    <t xml:space="preserve">Very High (internal HCC audit; plan-level compliance; subject to CMS/OIG direct scrutiny as plan sponsor)</t>
  </si>
  <si>
    <t xml:space="preserve">HCA's sophistication may mean lower per-claim error rates but higher resistance to recovery. Ascension most likely to self-correct. Kaiser's maturity doesn't eliminate RADV risk — it shifts focus to whether their own audits are sufficiently rigorous.</t>
  </si>
  <si>
    <t xml:space="preserve">MASTER SCORECARD — ALL DIMENSIONS | PI PRIORITY RANKING | RECOMMENDED ACTIONS</t>
  </si>
  <si>
    <t xml:space="preserve">Single-view summary: Patient Mix → Clinical → Financial → PI signals. Connecting narrative: patient mix explains clinical; clinical + incentives explain financial; financial behaviour reveals PI mechanism.</t>
  </si>
  <si>
    <t xml:space="preserve">Metric / Indicator</t>
  </si>
  <si>
    <t xml:space="preserve">HCA</t>
  </si>
  <si>
    <t xml:space="preserve">Ascension</t>
  </si>
  <si>
    <t xml:space="preserve">Kaiser</t>
  </si>
  <si>
    <t xml:space="preserve">National Benchmark</t>
  </si>
  <si>
    <t xml:space="preserve">PI Priority</t>
  </si>
  <si>
    <t xml:space="preserve">Sheet Ref</t>
  </si>
  <si>
    <t xml:space="preserve">Key Insight</t>
  </si>
  <si>
    <t xml:space="preserve">  ◆  PATIENT MIX — PAYER MIX</t>
  </si>
  <si>
    <t xml:space="preserve">Commercial %</t>
  </si>
  <si>
    <t xml:space="preserve">42% 🔴</t>
  </si>
  <si>
    <t xml:space="preserve">28% 🟢</t>
  </si>
  <si>
    <t xml:space="preserve">38% 🟡</t>
  </si>
  <si>
    <t xml:space="preserve">30-38%</t>
  </si>
  <si>
    <t xml:space="preserve">HCA watch</t>
  </si>
  <si>
    <t xml:space="preserve">Sh.2</t>
  </si>
  <si>
    <t xml:space="preserve">HCA's commercial concentration explains margin advantage — NOT just operational efficiency</t>
  </si>
  <si>
    <t xml:space="preserve">MA Revenue Dependency %</t>
  </si>
  <si>
    <t xml:space="preserve">14% 🟢</t>
  </si>
  <si>
    <t xml:space="preserve">38% 🔴</t>
  </si>
  <si>
    <t xml:space="preserve">31% 🟡</t>
  </si>
  <si>
    <t xml:space="preserve">Varies</t>
  </si>
  <si>
    <t xml:space="preserve">Ascension most exposed to CMS rate changes; creates leverage for MA plan contracting</t>
  </si>
  <si>
    <t xml:space="preserve">Dual-Eligible % of MA Patients</t>
  </si>
  <si>
    <t xml:space="preserve">~8% 🟢</t>
  </si>
  <si>
    <t xml:space="preserve">~22% 🔴</t>
  </si>
  <si>
    <t xml:space="preserve">~12% 🟡</t>
  </si>
  <si>
    <t xml:space="preserve">~12.5%</t>
  </si>
  <si>
    <t xml:space="preserve">Context</t>
  </si>
  <si>
    <t xml:space="preserve">Ascension's dual-eligible concentration is FALSE POSITIVE risk in standard PI models — must adjust</t>
  </si>
  <si>
    <t xml:space="preserve">  ◆  PATIENT MIX — ACUITY &amp; COMPLEXITY</t>
  </si>
  <si>
    <t xml:space="preserve">Case Mix Index</t>
  </si>
  <si>
    <t xml:space="preserve">2.08 🔴</t>
  </si>
  <si>
    <t xml:space="preserve">1.84 🟡</t>
  </si>
  <si>
    <t xml:space="preserve">1.65–1.90</t>
  </si>
  <si>
    <t xml:space="preserve">Sh.3</t>
  </si>
  <si>
    <t xml:space="preserve">HCA above range — decompose: elective surgical volume (legitimate) vs coding intensity (PI)</t>
  </si>
  <si>
    <t xml:space="preserve">68% 🔴</t>
  </si>
  <si>
    <t xml:space="preserve">54% 🟡</t>
  </si>
  <si>
    <t xml:space="preserve">50–60%</t>
  </si>
  <si>
    <t xml:space="preserve">PRIMARY upcoding signal — 8-18pts above benchmark; each unsupported MCC = $4,200</t>
  </si>
  <si>
    <t xml:space="preserve">RAF Score vs Peer</t>
  </si>
  <si>
    <t xml:space="preserve">1.18 🟡</t>
  </si>
  <si>
    <t xml:space="preserve">1.28 🟡</t>
  </si>
  <si>
    <t xml:space="preserve">1.22 🟡 (watch)</t>
  </si>
  <si>
    <t xml:space="preserve">1.00</t>
  </si>
  <si>
    <t xml:space="preserve">Kaiser (RADV)</t>
  </si>
  <si>
    <t xml:space="preserve">Kaiser's RAF requires RADV-style review; Ascension's high RAF is acuity-justified</t>
  </si>
  <si>
    <t xml:space="preserve">Dual-Eligible Cost Index</t>
  </si>
  <si>
    <t xml:space="preserve">1.68× 🟡</t>
  </si>
  <si>
    <t xml:space="preserve">1.72× 🔴</t>
  </si>
  <si>
    <t xml:space="preserve">1.58× 🟡</t>
  </si>
  <si>
    <t xml:space="preserve">1.6–1.8×</t>
  </si>
  <si>
    <t xml:space="preserve">Dual-eligibles legitimately cost 60-80% more — Ascension's elevated cost is expected</t>
  </si>
  <si>
    <t xml:space="preserve">  ◆  PATIENT MIX — DEMOGRAPHICS &amp; SDOH</t>
  </si>
  <si>
    <t xml:space="preserve">% Patients 75+</t>
  </si>
  <si>
    <t xml:space="preserve">~38% 🔴</t>
  </si>
  <si>
    <t xml:space="preserve">~41% 🔴</t>
  </si>
  <si>
    <t xml:space="preserve">~32%</t>
  </si>
  <si>
    <t xml:space="preserve">Sh.4</t>
  </si>
  <si>
    <t xml:space="preserve">Ascension/Kaiser serve older patients — legitimately higher ALOS, readmission, HAI risk</t>
  </si>
  <si>
    <t xml:space="preserve">% Below Federal Poverty Level</t>
  </si>
  <si>
    <t xml:space="preserve">~18% 🟢</t>
  </si>
  <si>
    <t xml:space="preserve">~34% 🔴</t>
  </si>
  <si>
    <t xml:space="preserve">~22% 🟡</t>
  </si>
  <si>
    <t xml:space="preserve">~25%</t>
  </si>
  <si>
    <t xml:space="preserve">Ascension's low-income concentration explains 40-60% of above-average utilisation metrics</t>
  </si>
  <si>
    <t xml:space="preserve">Racial Readmission Disparity Gap</t>
  </si>
  <si>
    <t xml:space="preserve">4.3pt gap 🔴</t>
  </si>
  <si>
    <t xml:space="preserve">3.1pt gap 🟡</t>
  </si>
  <si>
    <t xml:space="preserve">2.1pt gap 🟢</t>
  </si>
  <si>
    <t xml:space="preserve">~3.5pts</t>
  </si>
  <si>
    <t xml:space="preserve">CMS will require equity-stratified reporting — HCA's largest gap creates future Star Rating risk</t>
  </si>
  <si>
    <t xml:space="preserve">% LEP Patients</t>
  </si>
  <si>
    <t xml:space="preserve">~14% 🟡</t>
  </si>
  <si>
    <t xml:space="preserve">~16% 🔴</t>
  </si>
  <si>
    <t xml:space="preserve">HCA (care risk)</t>
  </si>
  <si>
    <t xml:space="preserve">LEP patients at HCA under-supported — adverse event and HCAHPS liability risk</t>
  </si>
  <si>
    <t xml:space="preserve">  ◆  PATIENT MIX — EPISODE &amp; SERVICE LINE</t>
  </si>
  <si>
    <t xml:space="preserve">Elective Surgical % of Inpatient</t>
  </si>
  <si>
    <t xml:space="preserve">28% 🟡</t>
  </si>
  <si>
    <t xml:space="preserve">22% 🟢</t>
  </si>
  <si>
    <t xml:space="preserve">~30%</t>
  </si>
  <si>
    <t xml:space="preserve">HCA (PI)</t>
  </si>
  <si>
    <t xml:space="preserve">Sh.5</t>
  </si>
  <si>
    <t xml:space="preserve">HCA's elective concentration = high-value DRG mix — primary target for DRG severity validation</t>
  </si>
  <si>
    <t xml:space="preserve">Hip/Knee w/ MCC Rate</t>
  </si>
  <si>
    <t xml:space="preserve">34% 🔴</t>
  </si>
  <si>
    <t xml:space="preserve">~18% for this DRG</t>
  </si>
  <si>
    <t xml:space="preserve">HCA hip/knee 'with MCC' nearly 2× national DRG-specific rate — clearest upcoding signal</t>
  </si>
  <si>
    <t xml:space="preserve">Preventive Visit % of Encounters</t>
  </si>
  <si>
    <t xml:space="preserve">14% 🔴</t>
  </si>
  <si>
    <t xml:space="preserve">18% 🟡</t>
  </si>
  <si>
    <t xml:space="preserve">34% 🟢</t>
  </si>
  <si>
    <t xml:space="preserve">~20%</t>
  </si>
  <si>
    <t xml:space="preserve">Prevention % predicts avoidable hospitalisations — Kaiser's 34% explains its outcome advantage</t>
  </si>
  <si>
    <t xml:space="preserve">Avoidable Hospitalisation Rate/1,000</t>
  </si>
  <si>
    <t xml:space="preserve">~82 🔴</t>
  </si>
  <si>
    <t xml:space="preserve">~68 🟡</t>
  </si>
  <si>
    <t xml:space="preserve">~34 🟢</t>
  </si>
  <si>
    <t xml:space="preserve">~65</t>
  </si>
  <si>
    <t xml:space="preserve">Kaiser's 34/1,000 = half national rate — quantified payoff of integrated prevention model</t>
  </si>
  <si>
    <t xml:space="preserve">  ◆  CLINICAL QUALITY</t>
  </si>
  <si>
    <t xml:space="preserve">30-Day Readmission Rate</t>
  </si>
  <si>
    <t xml:space="preserve">15.2% 🔴</t>
  </si>
  <si>
    <t xml:space="preserve">13.8% 🟡</t>
  </si>
  <si>
    <t xml:space="preserve">11.4% 🟢</t>
  </si>
  <si>
    <t xml:space="preserve">≤15%</t>
  </si>
  <si>
    <t xml:space="preserve">Sh.6</t>
  </si>
  <si>
    <t xml:space="preserve">HCA above benchmark despite lower chronic burden than Ascension — care coordination gap</t>
  </si>
  <si>
    <t xml:space="preserve">ALOS vs MS-DRG Expected</t>
  </si>
  <si>
    <t xml:space="preserve">1.12× 🟡</t>
  </si>
  <si>
    <t xml:space="preserve">1.02× 🟢</t>
  </si>
  <si>
    <t xml:space="preserve">0.88× 🟢</t>
  </si>
  <si>
    <t xml:space="preserve">1.00×</t>
  </si>
  <si>
    <t xml:space="preserve">HCA monitor</t>
  </si>
  <si>
    <t xml:space="preserve">HCA-specific MS-DRG decomposition required to identify which DRGs drive above-expected ALOS</t>
  </si>
  <si>
    <t xml:space="preserve">HCAHPS Overall Rating</t>
  </si>
  <si>
    <t xml:space="preserve">72% 🔴</t>
  </si>
  <si>
    <t xml:space="preserve">76% 🟡</t>
  </si>
  <si>
    <t xml:space="preserve">82% 🟢</t>
  </si>
  <si>
    <t xml:space="preserve">≥80%</t>
  </si>
  <si>
    <t xml:space="preserve">VBP financial penalty exposure; directly traceable to HCA nursing turnover and agency use</t>
  </si>
  <si>
    <t xml:space="preserve">HAI Composite Index</t>
  </si>
  <si>
    <t xml:space="preserve">0.89 🟡</t>
  </si>
  <si>
    <t xml:space="preserve">0.78 🟢</t>
  </si>
  <si>
    <t xml:space="preserve">0.61 🟢</t>
  </si>
  <si>
    <t xml:space="preserve">Monitor</t>
  </si>
  <si>
    <t xml:space="preserve">All below 1.0; HCA individual facility variation may create penalty exposure in worst quartile</t>
  </si>
  <si>
    <t xml:space="preserve">Risk-Adj Mortality (O/E %)</t>
  </si>
  <si>
    <t xml:space="preserve">96% 🟡</t>
  </si>
  <si>
    <t xml:space="preserve">91% 🟢</t>
  </si>
  <si>
    <t xml:space="preserve">84% 🟢*</t>
  </si>
  <si>
    <t xml:space="preserve">≤100%</t>
  </si>
  <si>
    <t xml:space="preserve">*Kaiser's 84% partly reflects healthier member selection — must caveat population comparison</t>
  </si>
  <si>
    <t xml:space="preserve">  ◆  FINANCIAL &amp; BILLING</t>
  </si>
  <si>
    <t xml:space="preserve">Charge-to-Cost Ratio</t>
  </si>
  <si>
    <t xml:space="preserve">4.82× 🔴</t>
  </si>
  <si>
    <t xml:space="preserve">3.21× 🟡</t>
  </si>
  <si>
    <t xml:space="preserve">2.18× 🟢</t>
  </si>
  <si>
    <t xml:space="preserve">3.0–4.0×</t>
  </si>
  <si>
    <t xml:space="preserve">Sh.7</t>
  </si>
  <si>
    <t xml:space="preserve">HCA billed charges 5× cost — commercial % of billed contracts = direct overpayment channel</t>
  </si>
  <si>
    <t xml:space="preserve">Chargemaster Escalation</t>
  </si>
  <si>
    <t xml:space="preserve">8.4%/yr 🔴</t>
  </si>
  <si>
    <t xml:space="preserve">4.2%/yr 🟡</t>
  </si>
  <si>
    <t xml:space="preserve">2.1%/yr 🟢</t>
  </si>
  <si>
    <t xml:space="preserve">CPI+2-3%</t>
  </si>
  <si>
    <t xml:space="preserve">Est. $527M cumulative 3yr exposure on % of billed contracts at HCA escalation rate</t>
  </si>
  <si>
    <t xml:space="preserve">PA Denial Rate</t>
  </si>
  <si>
    <t xml:space="preserve">11% 🔴</t>
  </si>
  <si>
    <t xml:space="preserve">6% 🟢</t>
  </si>
  <si>
    <t xml:space="preserve">Medical necessity leading indicator — MA plans disagree with HCA clinical decisions above avg</t>
  </si>
  <si>
    <t xml:space="preserve">Obs vs Inpatient Reclass Rate</t>
  </si>
  <si>
    <t xml:space="preserve">9% 🔴</t>
  </si>
  <si>
    <t xml:space="preserve">5% 🟢</t>
  </si>
  <si>
    <t xml:space="preserve">5–7%</t>
  </si>
  <si>
    <t xml:space="preserve">Est. $45-80M annual recovery from observation status correction at HCA volume</t>
  </si>
  <si>
    <t xml:space="preserve">Cost PMPM (MA)</t>
  </si>
  <si>
    <t xml:space="preserve">$1,840 🔴</t>
  </si>
  <si>
    <t xml:space="preserve">$1,510 🟡</t>
  </si>
  <si>
    <t xml:space="preserve">$1,020 🟢</t>
  </si>
  <si>
    <t xml:space="preserve">$1,100-1,400</t>
  </si>
  <si>
    <t xml:space="preserve">31% above national avg — decomposes into payer mix, unit price, coding intensity</t>
  </si>
  <si>
    <t xml:space="preserve">Est. Annual PI Exposure</t>
  </si>
  <si>
    <t xml:space="preserve">$75-127M 🔴</t>
  </si>
  <si>
    <t xml:space="preserve">$54-88M 🟡</t>
  </si>
  <si>
    <t xml:space="preserve">$180-310M 🟡(HCC)</t>
  </si>
  <si>
    <t xml:space="preserve">Kaiser (HCC)</t>
  </si>
  <si>
    <t xml:space="preserve">Kaiser's largest in $$ but different mechanism — HCC/RADV, not claims PI</t>
  </si>
  <si>
    <t xml:space="preserve">  TOP 5 PI PROGRAM PRIORITIES — SYNTHESIS FROM ALL SHEETS</t>
  </si>
  <si>
    <t xml:space="preserve">Priority 1: DRG/MCC-CC Concurrent Validation — HCA</t>
  </si>
  <si>
    <t xml:space="preserve">$42-67M exposure</t>
  </si>
  <si>
    <t xml:space="preserve">Concurrent (pre-discharge) review of MCC/CC codes at HCA facilities, especially hip/knee (34% w/MCC vs 18% benchmark) and CHF. Prevents upcoding before claim submission.</t>
  </si>
  <si>
    <t xml:space="preserve">Priority 2: HCC Risk-Adjustment RADV Programme — Kaiser</t>
  </si>
  <si>
    <t xml:space="preserve">$180-310M exposure</t>
  </si>
  <si>
    <t xml:space="preserve">Dedicated RAF trend monitoring and 'one-and-done' HCC detection. RADV extrapolation makes this highest-stakes workstream. Requires chart-level audit, not claims analytics.</t>
  </si>
  <si>
    <t xml:space="preserve">Priority 3: Prepay Observation/Inpatient Edit — HCA</t>
  </si>
  <si>
    <t xml:space="preserve">$45-80M exposure</t>
  </si>
  <si>
    <t xml:space="preserve">Enhanced prepay edit on short-stay inpatient at HCA using MS-DRG-specific expected LOS baseline. 9% reclassification rate at volume = material opportunity. Prepay avoids network leverage fight.</t>
  </si>
  <si>
    <t xml:space="preserve">Priority 4: Post-Acute SNF Therapy Audit — Ascension</t>
  </si>
  <si>
    <t xml:space="preserve">$22-33M exposure</t>
  </si>
  <si>
    <t xml:space="preserve">PDPM/RUG audit of Ascension-affiliated SNF claims. Collaborative review approach appropriate given Ascension's volume-dependent, cooperative contracting posture.</t>
  </si>
  <si>
    <t xml:space="preserve">Priority 5: Payer Mix-Adjusted Outlier Algorithm — Ascension</t>
  </si>
  <si>
    <t xml:space="preserve">False positive reduction</t>
  </si>
  <si>
    <t xml:space="preserve">Rebuild cost-outlier and utilisation algorithms to risk-adjust for dual-eligible and poverty concentration before generating Ascension case lists. Reduces false-positive investigative spend.</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</si>
</sst>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color rgb="FFFFFFFF"/>
      <name val="Arial"/>
      <family val="0"/>
      <charset val="1"/>
    </font>
    <font>
      <i val="true"/>
      <sz val="9"/>
      <color rgb="FFFFFFFF"/>
      <name val="Arial"/>
      <family val="0"/>
      <charset val="1"/>
    </font>
    <font>
      <b val="true"/>
      <sz val="11"/>
      <color rgb="FFFFFFFF"/>
      <name val="Arial"/>
      <family val="0"/>
      <charset val="1"/>
    </font>
    <font>
      <b val="true"/>
      <sz val="9"/>
      <color rgb="FFFFFFFF"/>
      <name val="Arial"/>
      <family val="0"/>
      <charset val="1"/>
    </font>
    <font>
      <sz val="9"/>
      <color rgb="FF1A1A1A"/>
      <name val="Arial"/>
      <family val="0"/>
      <charset val="1"/>
    </font>
    <font>
      <i val="true"/>
      <sz val="9"/>
      <name val="Arial"/>
      <family val="0"/>
      <charset val="1"/>
    </font>
    <font>
      <b val="true"/>
      <sz val="9"/>
      <color rgb="FF1A1A1A"/>
      <name val="Arial"/>
      <family val="0"/>
      <charset val="1"/>
    </font>
    <font>
      <b val="true"/>
      <sz val="10"/>
      <color rgb="FFFFFFFF"/>
      <name val="Arial"/>
      <family val="0"/>
      <charset val="1"/>
    </font>
    <font>
      <b val="true"/>
      <sz val="10"/>
      <color rgb="FF1A1A1A"/>
      <name val="Arial"/>
      <family val="0"/>
      <charset val="1"/>
    </font>
    <font>
      <sz val="10"/>
      <color rgb="FFB8860B"/>
      <name val="Arial"/>
      <family val="0"/>
      <charset val="1"/>
    </font>
    <font>
      <sz val="10"/>
      <color rgb="FF1A1A1A"/>
      <name val="Arial"/>
      <family val="0"/>
      <charset val="1"/>
    </font>
    <font>
      <b val="true"/>
      <sz val="10"/>
      <color rgb="FF1A237E"/>
      <name val="Arial"/>
      <family val="0"/>
      <charset val="1"/>
    </font>
    <font>
      <i val="true"/>
      <sz val="8"/>
      <color rgb="FF4A5568"/>
      <name val="Arial"/>
      <family val="0"/>
      <charset val="1"/>
    </font>
    <font>
      <b val="true"/>
      <sz val="10"/>
      <color rgb="FFC00000"/>
      <name val="Arial"/>
      <family val="0"/>
      <charset val="1"/>
    </font>
    <font>
      <b val="true"/>
      <sz val="10"/>
      <color rgb="FF1E6B3A"/>
      <name val="Arial"/>
      <family val="0"/>
      <charset val="1"/>
    </font>
    <font>
      <sz val="10"/>
      <color rgb="FF7D4700"/>
      <name val="Arial"/>
      <family val="0"/>
      <charset val="1"/>
    </font>
    <font>
      <b val="true"/>
      <sz val="18"/>
      <color rgb="FF000000"/>
      <name val="Calibri"/>
      <family val="2"/>
    </font>
    <font>
      <sz val="10"/>
      <color rgb="FF000000"/>
      <name val="Calibri"/>
      <family val="2"/>
    </font>
    <font>
      <b val="true"/>
      <sz val="10"/>
      <color rgb="FF000000"/>
      <name val="Calibri"/>
      <family val="2"/>
    </font>
  </fonts>
  <fills count="23">
    <fill>
      <patternFill patternType="none"/>
    </fill>
    <fill>
      <patternFill patternType="gray125"/>
    </fill>
    <fill>
      <patternFill patternType="solid">
        <fgColor rgb="FF0B2545"/>
        <bgColor rgb="FF1F2D3D"/>
      </patternFill>
    </fill>
    <fill>
      <patternFill patternType="solid">
        <fgColor rgb="FF0E7C7B"/>
        <bgColor rgb="FF1B5E91"/>
      </patternFill>
    </fill>
    <fill>
      <patternFill patternType="solid">
        <fgColor rgb="FF4A5568"/>
        <bgColor rgb="FF1B5E91"/>
      </patternFill>
    </fill>
    <fill>
      <patternFill patternType="solid">
        <fgColor rgb="FF1F2D3D"/>
        <bgColor rgb="FF0B2545"/>
      </patternFill>
    </fill>
    <fill>
      <patternFill patternType="solid">
        <fgColor rgb="FF1B5E91"/>
        <bgColor rgb="FF005A9C"/>
      </patternFill>
    </fill>
    <fill>
      <patternFill patternType="solid">
        <fgColor rgb="FFD0E8F5"/>
        <bgColor rgb="FFCCE0F0"/>
      </patternFill>
    </fill>
    <fill>
      <patternFill patternType="solid">
        <fgColor rgb="FFD7EFEE"/>
        <bgColor rgb="FFD0E8F5"/>
      </patternFill>
    </fill>
    <fill>
      <patternFill patternType="solid">
        <fgColor rgb="FF6B2D8B"/>
        <bgColor rgb="FF4A148C"/>
      </patternFill>
    </fill>
    <fill>
      <patternFill patternType="solid">
        <fgColor rgb="FFEDD9F7"/>
        <bgColor rgb="FFD6DCE4"/>
      </patternFill>
    </fill>
    <fill>
      <patternFill patternType="solid">
        <fgColor rgb="FF005A9C"/>
        <bgColor rgb="FF1B5E91"/>
      </patternFill>
    </fill>
    <fill>
      <patternFill patternType="solid">
        <fgColor rgb="FFCCE0F0"/>
        <bgColor rgb="FFD0E8F5"/>
      </patternFill>
    </fill>
    <fill>
      <patternFill patternType="solid">
        <fgColor rgb="FFFFFFFF"/>
        <bgColor rgb="FFF9F9F9"/>
      </patternFill>
    </fill>
    <fill>
      <patternFill patternType="solid">
        <fgColor rgb="FF1A237E"/>
        <bgColor rgb="FF0B2545"/>
      </patternFill>
    </fill>
    <fill>
      <patternFill patternType="solid">
        <fgColor rgb="FFEDF2F7"/>
        <bgColor rgb="FFF0F4FF"/>
      </patternFill>
    </fill>
    <fill>
      <patternFill patternType="solid">
        <fgColor rgb="FFFFF8DC"/>
        <bgColor rgb="FFFFF2CC"/>
      </patternFill>
    </fill>
    <fill>
      <patternFill patternType="solid">
        <fgColor rgb="FFF0F4FF"/>
        <bgColor rgb="FFEDF2F7"/>
      </patternFill>
    </fill>
    <fill>
      <patternFill patternType="solid">
        <fgColor rgb="FFFCE4D6"/>
        <bgColor rgb="FFFFF2CC"/>
      </patternFill>
    </fill>
    <fill>
      <patternFill patternType="solid">
        <fgColor rgb="FFE2EFDA"/>
        <bgColor rgb="FFD7EFEE"/>
      </patternFill>
    </fill>
    <fill>
      <patternFill patternType="solid">
        <fgColor rgb="FFFFF2CC"/>
        <bgColor rgb="FFFFF8DC"/>
      </patternFill>
    </fill>
    <fill>
      <patternFill patternType="solid">
        <fgColor rgb="FF4A148C"/>
        <bgColor rgb="FF6B2D8B"/>
      </patternFill>
    </fill>
    <fill>
      <patternFill patternType="solid">
        <fgColor rgb="FFC00000"/>
        <bgColor rgb="FF800000"/>
      </patternFill>
    </fill>
  </fills>
  <borders count="4">
    <border diagonalUp="false" diagonalDown="false">
      <left/>
      <right/>
      <top/>
      <bottom/>
      <diagonal/>
    </border>
    <border diagonalUp="false" diagonalDown="false">
      <left style="thin">
        <color rgb="FFD6DCE4"/>
      </left>
      <right style="thin">
        <color rgb="FFD6DCE4"/>
      </right>
      <top style="thin">
        <color rgb="FFD6DCE4"/>
      </top>
      <bottom/>
      <diagonal/>
    </border>
    <border diagonalUp="false" diagonalDown="false">
      <left style="thin">
        <color rgb="FFD6DCE4"/>
      </left>
      <right/>
      <top style="thin">
        <color rgb="FFD6DCE4"/>
      </top>
      <bottom style="thin">
        <color rgb="FFD6DCE4"/>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7" fillId="5" borderId="0"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6" borderId="2" xfId="0" applyFont="true" applyBorder="true" applyAlignment="true" applyProtection="false">
      <alignment horizontal="left" vertical="center" textRotation="0" wrapText="true" indent="0" shrinkToFit="false"/>
      <protection locked="true" hidden="false"/>
    </xf>
    <xf numFmtId="164" fontId="9" fillId="7" borderId="2" xfId="0" applyFont="true" applyBorder="true" applyAlignment="true" applyProtection="false">
      <alignment horizontal="left" vertical="center" textRotation="0" wrapText="true" indent="0" shrinkToFit="false"/>
      <protection locked="true" hidden="false"/>
    </xf>
    <xf numFmtId="164" fontId="10" fillId="8" borderId="2"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8" fillId="9" borderId="2" xfId="0" applyFont="true" applyBorder="true" applyAlignment="true" applyProtection="false">
      <alignment horizontal="left" vertical="center" textRotation="0" wrapText="true" indent="0" shrinkToFit="false"/>
      <protection locked="true" hidden="false"/>
    </xf>
    <xf numFmtId="164" fontId="9" fillId="10" borderId="2"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8" fillId="11" borderId="2" xfId="0" applyFont="true" applyBorder="true" applyAlignment="true" applyProtection="false">
      <alignment horizontal="left" vertical="center" textRotation="0" wrapText="true" indent="0" shrinkToFit="false"/>
      <protection locked="true" hidden="false"/>
    </xf>
    <xf numFmtId="164" fontId="9" fillId="12" borderId="2" xfId="0" applyFont="true" applyBorder="true" applyAlignment="true" applyProtection="false">
      <alignment horizontal="left" vertical="center" textRotation="0" wrapText="true" indent="0" shrinkToFit="false"/>
      <protection locked="true" hidden="false"/>
    </xf>
    <xf numFmtId="164" fontId="11" fillId="8" borderId="3" xfId="0" applyFont="true" applyBorder="true" applyAlignment="true" applyProtection="false">
      <alignment horizontal="left" vertical="center" textRotation="0" wrapText="true" indent="0" shrinkToFit="false"/>
      <protection locked="true" hidden="false"/>
    </xf>
    <xf numFmtId="164" fontId="9" fillId="8" borderId="3" xfId="0" applyFont="true" applyBorder="true" applyAlignment="true" applyProtection="false">
      <alignment horizontal="left" vertical="center" textRotation="0" wrapText="true" indent="0" shrinkToFit="false"/>
      <protection locked="true" hidden="false"/>
    </xf>
    <xf numFmtId="164" fontId="11" fillId="13" borderId="3" xfId="0" applyFont="true" applyBorder="true" applyAlignment="true" applyProtection="false">
      <alignment horizontal="left" vertical="center" textRotation="0" wrapText="true" indent="0" shrinkToFit="false"/>
      <protection locked="true" hidden="false"/>
    </xf>
    <xf numFmtId="164" fontId="9" fillId="13" borderId="3" xfId="0" applyFont="true" applyBorder="true" applyAlignment="true" applyProtection="false">
      <alignment horizontal="left" vertical="center" textRotation="0" wrapText="true" indent="0" shrinkToFit="false"/>
      <protection locked="true" hidden="false"/>
    </xf>
    <xf numFmtId="164" fontId="12" fillId="5" borderId="3" xfId="0" applyFont="true" applyBorder="true" applyAlignment="true" applyProtection="false">
      <alignment horizontal="center" vertical="center" textRotation="0" wrapText="true" indent="0" shrinkToFit="false"/>
      <protection locked="true" hidden="false"/>
    </xf>
    <xf numFmtId="164" fontId="12" fillId="6" borderId="3"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center" vertical="center" textRotation="0" wrapText="true" indent="0" shrinkToFit="false"/>
      <protection locked="true" hidden="false"/>
    </xf>
    <xf numFmtId="164" fontId="12" fillId="11" borderId="3" xfId="0" applyFont="true" applyBorder="true" applyAlignment="true" applyProtection="false">
      <alignment horizontal="center" vertical="center" textRotation="0" wrapText="true" indent="0" shrinkToFit="false"/>
      <protection locked="true" hidden="false"/>
    </xf>
    <xf numFmtId="164" fontId="12" fillId="14" borderId="3" xfId="0" applyFont="true" applyBorder="true" applyAlignment="true" applyProtection="false">
      <alignment horizontal="center" vertical="center" textRotation="0" wrapText="true" indent="0" shrinkToFit="false"/>
      <protection locked="true" hidden="false"/>
    </xf>
    <xf numFmtId="164" fontId="12" fillId="3"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4" fontId="12" fillId="4" borderId="0" xfId="0" applyFont="true" applyBorder="true" applyAlignment="true" applyProtection="false">
      <alignment horizontal="left"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13" fillId="15" borderId="3" xfId="0" applyFont="true" applyBorder="true" applyAlignment="true" applyProtection="false">
      <alignment horizontal="left" vertical="center" textRotation="0" wrapText="true" indent="0" shrinkToFit="false"/>
      <protection locked="true" hidden="false"/>
    </xf>
    <xf numFmtId="164" fontId="14" fillId="16" borderId="3" xfId="0" applyFont="true" applyBorder="true" applyAlignment="true" applyProtection="false">
      <alignment horizontal="center" vertical="center" textRotation="0" wrapText="true" indent="0" shrinkToFit="false"/>
      <protection locked="true" hidden="false"/>
    </xf>
    <xf numFmtId="164" fontId="15" fillId="15" borderId="3" xfId="0" applyFont="true" applyBorder="true" applyAlignment="true" applyProtection="false">
      <alignment horizontal="center" vertical="center" textRotation="0" wrapText="true" indent="0" shrinkToFit="false"/>
      <protection locked="true" hidden="false"/>
    </xf>
    <xf numFmtId="164" fontId="16" fillId="17" borderId="3" xfId="0" applyFont="true" applyBorder="true" applyAlignment="true" applyProtection="false">
      <alignment horizontal="center" vertical="center" textRotation="0" wrapText="true" indent="0" shrinkToFit="false"/>
      <protection locked="true" hidden="false"/>
    </xf>
    <xf numFmtId="164" fontId="17" fillId="8" borderId="3" xfId="0" applyFont="true" applyBorder="true" applyAlignment="true" applyProtection="false">
      <alignment horizontal="left" vertical="center" textRotation="0" wrapText="true" indent="0" shrinkToFit="false"/>
      <protection locked="true" hidden="false"/>
    </xf>
    <xf numFmtId="164" fontId="9" fillId="15" borderId="3" xfId="0" applyFont="true" applyBorder="true" applyAlignment="true" applyProtection="false">
      <alignment horizontal="left" vertical="center" textRotation="0" wrapText="true" indent="0" shrinkToFit="false"/>
      <protection locked="true" hidden="false"/>
    </xf>
    <xf numFmtId="164" fontId="17" fillId="15" borderId="3" xfId="0" applyFont="true" applyBorder="true" applyAlignment="true" applyProtection="false">
      <alignment horizontal="left" vertical="center" textRotation="0" wrapText="true" indent="0" shrinkToFit="false"/>
      <protection locked="true" hidden="false"/>
    </xf>
    <xf numFmtId="164" fontId="13" fillId="13" borderId="3" xfId="0" applyFont="true" applyBorder="true" applyAlignment="true" applyProtection="false">
      <alignment horizontal="left" vertical="center" textRotation="0" wrapText="true" indent="0" shrinkToFit="false"/>
      <protection locked="true" hidden="false"/>
    </xf>
    <xf numFmtId="164" fontId="15" fillId="13" borderId="3" xfId="0" applyFont="true" applyBorder="true" applyAlignment="true" applyProtection="false">
      <alignment horizontal="center" vertical="center" textRotation="0" wrapText="true" indent="0" shrinkToFit="false"/>
      <protection locked="true" hidden="false"/>
    </xf>
    <xf numFmtId="164" fontId="18" fillId="18" borderId="3" xfId="0" applyFont="true" applyBorder="true" applyAlignment="true" applyProtection="false">
      <alignment horizontal="center" vertical="center" textRotation="0" wrapText="true" indent="0" shrinkToFit="false"/>
      <protection locked="true" hidden="false"/>
    </xf>
    <xf numFmtId="164" fontId="17" fillId="13" borderId="3" xfId="0" applyFont="true" applyBorder="true" applyAlignment="true" applyProtection="false">
      <alignment horizontal="left" vertical="center" textRotation="0" wrapText="true" indent="0" shrinkToFit="false"/>
      <protection locked="true" hidden="false"/>
    </xf>
    <xf numFmtId="164" fontId="19" fillId="19" borderId="3" xfId="0" applyFont="true" applyBorder="true" applyAlignment="true" applyProtection="false">
      <alignment horizontal="center" vertical="center" textRotation="0" wrapText="true" indent="0" shrinkToFit="false"/>
      <protection locked="true" hidden="false"/>
    </xf>
    <xf numFmtId="164" fontId="20" fillId="20" borderId="3" xfId="0" applyFont="true" applyBorder="true" applyAlignment="true" applyProtection="false">
      <alignment horizontal="center" vertical="center" textRotation="0" wrapText="true" indent="0" shrinkToFit="false"/>
      <protection locked="true" hidden="false"/>
    </xf>
    <xf numFmtId="164" fontId="12" fillId="21" borderId="0" xfId="0" applyFont="true" applyBorder="true" applyAlignment="true" applyProtection="false">
      <alignment horizontal="left" vertical="center" textRotation="0" wrapText="true" indent="0" shrinkToFit="false"/>
      <protection locked="true" hidden="false"/>
    </xf>
    <xf numFmtId="164" fontId="11" fillId="13"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9" fillId="10" borderId="1" xfId="0" applyFont="true" applyBorder="true" applyAlignment="true" applyProtection="false">
      <alignment horizontal="left" vertical="center" textRotation="0" wrapText="true" indent="0" shrinkToFit="false"/>
      <protection locked="true" hidden="false"/>
    </xf>
    <xf numFmtId="164" fontId="9" fillId="12" borderId="1" xfId="0" applyFont="true" applyBorder="true" applyAlignment="true" applyProtection="false">
      <alignment horizontal="left" vertical="center" textRotation="0" wrapText="true" indent="0" shrinkToFit="false"/>
      <protection locked="true" hidden="false"/>
    </xf>
    <xf numFmtId="164" fontId="10" fillId="13" borderId="1" xfId="0" applyFont="true" applyBorder="true" applyAlignment="true" applyProtection="false">
      <alignment horizontal="left" vertical="center" textRotation="0" wrapText="true" indent="0" shrinkToFit="false"/>
      <protection locked="true" hidden="false"/>
    </xf>
    <xf numFmtId="164" fontId="12" fillId="2" borderId="3" xfId="0" applyFont="true" applyBorder="true" applyAlignment="true" applyProtection="false">
      <alignment horizontal="center" vertical="center" textRotation="0" wrapText="true" indent="0" shrinkToFit="false"/>
      <protection locked="true" hidden="false"/>
    </xf>
    <xf numFmtId="164" fontId="8" fillId="22" borderId="3" xfId="0" applyFont="true" applyBorder="true" applyAlignment="true" applyProtection="false">
      <alignment horizontal="center" vertical="center" textRotation="0" wrapText="true" indent="0" shrinkToFit="false"/>
      <protection locked="true" hidden="false"/>
    </xf>
    <xf numFmtId="164" fontId="9" fillId="8"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11" borderId="3"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13" fillId="8" borderId="3" xfId="0" applyFont="true" applyBorder="true" applyAlignment="true" applyProtection="false">
      <alignment horizontal="left" vertical="center" textRotation="0" wrapText="true" indent="0" shrinkToFit="false"/>
      <protection locked="true" hidden="false"/>
    </xf>
    <xf numFmtId="164" fontId="18" fillId="18" borderId="2" xfId="0" applyFont="true" applyBorder="true" applyAlignment="true" applyProtection="false">
      <alignment horizontal="center" vertical="center" textRotation="0" wrapText="true" indent="0" shrinkToFit="false"/>
      <protection locked="true" hidden="false"/>
    </xf>
    <xf numFmtId="164" fontId="9" fillId="8" borderId="2" xfId="0" applyFont="true" applyBorder="true" applyAlignment="true" applyProtection="false">
      <alignment horizontal="left" vertical="center" textRotation="0" wrapText="true" indent="0" shrinkToFit="false"/>
      <protection locked="true" hidden="false"/>
    </xf>
    <xf numFmtId="164" fontId="9" fillId="13"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9F9F9"/>
      <rgbColor rgb="FFFF00FF"/>
      <rgbColor rgb="FF00FFFF"/>
      <rgbColor rgb="FF800000"/>
      <rgbColor rgb="FF1E6B3A"/>
      <rgbColor rgb="FF000080"/>
      <rgbColor rgb="FFB8860B"/>
      <rgbColor rgb="FF800080"/>
      <rgbColor rgb="FF0E7C7B"/>
      <rgbColor rgb="FFD9D9D9"/>
      <rgbColor rgb="FF878787"/>
      <rgbColor rgb="FFF0F4FF"/>
      <rgbColor rgb="FF6B2D8B"/>
      <rgbColor rgb="FFFFF8DC"/>
      <rgbColor rgb="FFD7EFEE"/>
      <rgbColor rgb="FF4A148C"/>
      <rgbColor rgb="FFFF8080"/>
      <rgbColor rgb="FF005A9C"/>
      <rgbColor rgb="FFCCE0F0"/>
      <rgbColor rgb="FF000080"/>
      <rgbColor rgb="FFFF00FF"/>
      <rgbColor rgb="FFFFFF00"/>
      <rgbColor rgb="FF00FFFF"/>
      <rgbColor rgb="FF800080"/>
      <rgbColor rgb="FF800000"/>
      <rgbColor rgb="FF1B5E91"/>
      <rgbColor rgb="FF0000FF"/>
      <rgbColor rgb="FF00CCFF"/>
      <rgbColor rgb="FFD0E8F5"/>
      <rgbColor rgb="FFE2EFDA"/>
      <rgbColor rgb="FFFFF2CC"/>
      <rgbColor rgb="FFD6DCE4"/>
      <rgbColor rgb="FFEDD9F7"/>
      <rgbColor rgb="FFEDF2F7"/>
      <rgbColor rgb="FFFCE4D6"/>
      <rgbColor rgb="FF4F81BD"/>
      <rgbColor rgb="FF33CCCC"/>
      <rgbColor rgb="FF9BBB59"/>
      <rgbColor rgb="FFFFCC00"/>
      <rgbColor rgb="FFFF9900"/>
      <rgbColor rgb="FFFF6600"/>
      <rgbColor rgb="FF4A5568"/>
      <rgbColor rgb="FF969696"/>
      <rgbColor rgb="FF0B2545"/>
      <rgbColor rgb="FF339966"/>
      <rgbColor rgb="FF003300"/>
      <rgbColor rgb="FF1A1A1A"/>
      <rgbColor rgb="FF7D4700"/>
      <rgbColor rgb="FFC0504D"/>
      <rgbColor rgb="FF1A237E"/>
      <rgbColor rgb="FF1F2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Payer Mix Comparison (%)</a:t>
            </a:r>
          </a:p>
        </c:rich>
      </c:tx>
      <c:overlay val="0"/>
      <c:spPr>
        <a:noFill/>
        <a:ln w="0">
          <a:noFill/>
        </a:ln>
      </c:spPr>
    </c:title>
    <c:autoTitleDeleted val="0"/>
    <c:plotArea>
      <c:barChart>
        <c:barDir val="col"/>
        <c:grouping val="clustered"/>
        <c:varyColors val="0"/>
        <c:ser>
          <c:idx val="0"/>
          <c:order val="0"/>
          <c:tx>
            <c:strRef>
              <c:f>"HCA"</c:f>
              <c:strCache>
                <c:ptCount val="1"/>
                <c:pt idx="0">
                  <c:v>HCA</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Payer Mix'!$A$100:$A$103</c:f>
              <c:strCache>
                <c:ptCount val="4"/>
                <c:pt idx="0">
                  <c:v>Commercial</c:v>
                </c:pt>
                <c:pt idx="1">
                  <c:v>Medicare/MA</c:v>
                </c:pt>
                <c:pt idx="2">
                  <c:v>Medicaid</c:v>
                </c:pt>
                <c:pt idx="3">
                  <c:v>Self-Pay</c:v>
                </c:pt>
              </c:strCache>
            </c:strRef>
          </c:cat>
          <c:val>
            <c:numRef>
              <c:f>'2. Payer Mix'!$B$100:$B$103</c:f>
              <c:numCache>
                <c:formatCode>General</c:formatCode>
                <c:ptCount val="4"/>
                <c:pt idx="0">
                  <c:v>42</c:v>
                </c:pt>
                <c:pt idx="1">
                  <c:v>46</c:v>
                </c:pt>
                <c:pt idx="2">
                  <c:v>14</c:v>
                </c:pt>
                <c:pt idx="3">
                  <c:v>8</c:v>
                </c:pt>
              </c:numCache>
            </c:numRef>
          </c:val>
        </c:ser>
        <c:ser>
          <c:idx val="1"/>
          <c:order val="1"/>
          <c:tx>
            <c:strRef>
              <c:f>"Ascension"</c:f>
              <c:strCache>
                <c:ptCount val="1"/>
                <c:pt idx="0">
                  <c:v>Ascension</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Payer Mix'!$A$100:$A$103</c:f>
              <c:strCache>
                <c:ptCount val="4"/>
                <c:pt idx="0">
                  <c:v>Commercial</c:v>
                </c:pt>
                <c:pt idx="1">
                  <c:v>Medicare/MA</c:v>
                </c:pt>
                <c:pt idx="2">
                  <c:v>Medicaid</c:v>
                </c:pt>
                <c:pt idx="3">
                  <c:v>Self-Pay</c:v>
                </c:pt>
              </c:strCache>
            </c:strRef>
          </c:cat>
          <c:val>
            <c:numRef>
              <c:f>'2. Payer Mix'!$C$100:$C$103</c:f>
              <c:numCache>
                <c:formatCode>General</c:formatCode>
                <c:ptCount val="4"/>
                <c:pt idx="0">
                  <c:v>28</c:v>
                </c:pt>
                <c:pt idx="1">
                  <c:v>62</c:v>
                </c:pt>
                <c:pt idx="2">
                  <c:v>22</c:v>
                </c:pt>
                <c:pt idx="3">
                  <c:v>9</c:v>
                </c:pt>
              </c:numCache>
            </c:numRef>
          </c:val>
        </c:ser>
        <c:ser>
          <c:idx val="2"/>
          <c:order val="2"/>
          <c:tx>
            <c:strRef>
              <c:f>"Kaiser"</c:f>
              <c:strCache>
                <c:ptCount val="1"/>
                <c:pt idx="0">
                  <c:v>Kaiser</c:v>
                </c:pt>
              </c:strCache>
            </c:strRef>
          </c:tx>
          <c:spPr>
            <a:solidFill>
              <a:srgbClr val="9bbb59"/>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 Payer Mix'!$A$100:$A$103</c:f>
              <c:strCache>
                <c:ptCount val="4"/>
                <c:pt idx="0">
                  <c:v>Commercial</c:v>
                </c:pt>
                <c:pt idx="1">
                  <c:v>Medicare/MA</c:v>
                </c:pt>
                <c:pt idx="2">
                  <c:v>Medicaid</c:v>
                </c:pt>
                <c:pt idx="3">
                  <c:v>Self-Pay</c:v>
                </c:pt>
              </c:strCache>
            </c:strRef>
          </c:cat>
          <c:val>
            <c:numRef>
              <c:f>'2. Payer Mix'!$D$100:$D$103</c:f>
              <c:numCache>
                <c:formatCode>General</c:formatCode>
                <c:ptCount val="4"/>
                <c:pt idx="0">
                  <c:v>38</c:v>
                </c:pt>
                <c:pt idx="1">
                  <c:v>68</c:v>
                </c:pt>
                <c:pt idx="2">
                  <c:v>18</c:v>
                </c:pt>
                <c:pt idx="3">
                  <c:v>4</c:v>
                </c:pt>
              </c:numCache>
            </c:numRef>
          </c:val>
        </c:ser>
        <c:gapWidth val="150"/>
        <c:overlap val="0"/>
        <c:axId val="19757209"/>
        <c:axId val="91603985"/>
      </c:barChart>
      <c:catAx>
        <c:axId val="1975720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603985"/>
        <c:crosses val="autoZero"/>
        <c:auto val="1"/>
        <c:lblAlgn val="ctr"/>
        <c:lblOffset val="100"/>
        <c:noMultiLvlLbl val="0"/>
      </c:catAx>
      <c:valAx>
        <c:axId val="9160398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75720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4</xdr:row>
      <xdr:rowOff>0</xdr:rowOff>
    </xdr:from>
    <xdr:to>
      <xdr:col>21</xdr:col>
      <xdr:colOff>581760</xdr:colOff>
      <xdr:row>18</xdr:row>
      <xdr:rowOff>200880</xdr:rowOff>
    </xdr:to>
    <xdr:graphicFrame>
      <xdr:nvGraphicFramePr>
        <xdr:cNvPr id="0" name="Chart 1"/>
        <xdr:cNvGraphicFramePr/>
      </xdr:nvGraphicFramePr>
      <xdr:xfrm>
        <a:off x="14849640" y="1123920"/>
        <a:ext cx="79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0"/>
    <col collapsed="false" customWidth="true" hidden="false" outlineLevel="0" max="5" min="5" style="0" width="14"/>
    <col collapsed="false" customWidth="true" hidden="false" outlineLevel="0" max="6" min="6" style="0" width="26"/>
    <col collapsed="false" customWidth="true" hidden="false" outlineLevel="0" max="7" min="7" style="0" width="40"/>
    <col collapsed="false" customWidth="true" hidden="false" outlineLevel="0" max="8" min="8" style="0" width="28"/>
  </cols>
  <sheetData>
    <row r="1" customFormat="false" ht="43.5" hidden="false" customHeight="true" outlineLevel="0" collapsed="false">
      <c r="A1" s="1" t="s">
        <v>0</v>
      </c>
      <c r="B1" s="1"/>
      <c r="C1" s="1"/>
      <c r="D1" s="1"/>
      <c r="E1" s="1"/>
      <c r="F1" s="1"/>
      <c r="G1" s="1"/>
      <c r="H1" s="1"/>
      <c r="I1" s="1"/>
    </row>
    <row r="2" customFormat="false" ht="19.5" hidden="false" customHeight="true" outlineLevel="0" collapsed="false">
      <c r="A2" s="2" t="s">
        <v>1</v>
      </c>
      <c r="B2" s="2"/>
      <c r="C2" s="2"/>
      <c r="D2" s="2"/>
      <c r="E2" s="2"/>
      <c r="F2" s="2"/>
      <c r="G2" s="2"/>
      <c r="H2" s="2"/>
      <c r="I2" s="2"/>
    </row>
    <row r="3" customFormat="false" ht="15.75" hidden="false" customHeight="true" outlineLevel="0" collapsed="false">
      <c r="A3" s="3" t="s">
        <v>2</v>
      </c>
      <c r="B3" s="3"/>
      <c r="C3" s="3"/>
      <c r="D3" s="3"/>
      <c r="E3" s="3"/>
      <c r="F3" s="3"/>
      <c r="G3" s="3"/>
      <c r="H3" s="3"/>
      <c r="I3" s="3"/>
    </row>
    <row r="4" customFormat="false" ht="9.75" hidden="false" customHeight="true" outlineLevel="0" collapsed="false"/>
    <row r="5" customFormat="false" ht="21.75" hidden="false" customHeight="true" outlineLevel="0" collapsed="false">
      <c r="A5" s="4" t="s">
        <v>3</v>
      </c>
      <c r="B5" s="4"/>
      <c r="C5" s="4"/>
      <c r="D5" s="4"/>
      <c r="E5" s="4"/>
      <c r="F5" s="4"/>
      <c r="G5" s="4"/>
      <c r="H5" s="4"/>
    </row>
    <row r="6" customFormat="false" ht="18" hidden="false" customHeight="true" outlineLevel="0" collapsed="false">
      <c r="A6" s="5" t="s">
        <v>4</v>
      </c>
      <c r="B6" s="6" t="s">
        <v>5</v>
      </c>
      <c r="C6" s="6"/>
      <c r="D6" s="6"/>
      <c r="E6" s="6"/>
      <c r="F6" s="6"/>
      <c r="G6" s="6"/>
      <c r="H6" s="6"/>
    </row>
    <row r="7" customFormat="false" ht="18" hidden="false" customHeight="true" outlineLevel="0" collapsed="false">
      <c r="A7" s="5"/>
      <c r="B7" s="7" t="s">
        <v>6</v>
      </c>
      <c r="C7" s="7"/>
      <c r="D7" s="7"/>
      <c r="E7" s="7"/>
      <c r="F7" s="7"/>
      <c r="G7" s="7"/>
      <c r="H7" s="7"/>
    </row>
    <row r="8" customFormat="false" ht="18" hidden="false" customHeight="true" outlineLevel="0" collapsed="false">
      <c r="A8" s="5"/>
      <c r="B8" s="8" t="s">
        <v>7</v>
      </c>
      <c r="C8" s="8"/>
      <c r="D8" s="8"/>
      <c r="E8" s="8"/>
      <c r="F8" s="8"/>
      <c r="G8" s="8"/>
      <c r="H8" s="8"/>
    </row>
    <row r="9" customFormat="false" ht="18" hidden="false" customHeight="true" outlineLevel="0" collapsed="false">
      <c r="A9" s="9" t="s">
        <v>8</v>
      </c>
      <c r="B9" s="10" t="s">
        <v>9</v>
      </c>
      <c r="C9" s="10"/>
      <c r="D9" s="10"/>
      <c r="E9" s="10"/>
      <c r="F9" s="10"/>
      <c r="G9" s="10"/>
      <c r="H9" s="10"/>
    </row>
    <row r="10" customFormat="false" ht="18" hidden="false" customHeight="true" outlineLevel="0" collapsed="false">
      <c r="A10" s="9"/>
      <c r="B10" s="11" t="s">
        <v>10</v>
      </c>
      <c r="C10" s="11"/>
      <c r="D10" s="11"/>
      <c r="E10" s="11"/>
      <c r="F10" s="11"/>
      <c r="G10" s="11"/>
      <c r="H10" s="11"/>
    </row>
    <row r="11" customFormat="false" ht="18" hidden="false" customHeight="true" outlineLevel="0" collapsed="false">
      <c r="A11" s="9"/>
      <c r="B11" s="8" t="s">
        <v>11</v>
      </c>
      <c r="C11" s="8"/>
      <c r="D11" s="8"/>
      <c r="E11" s="8"/>
      <c r="F11" s="8"/>
      <c r="G11" s="8"/>
      <c r="H11" s="8"/>
    </row>
    <row r="12" customFormat="false" ht="18" hidden="false" customHeight="true" outlineLevel="0" collapsed="false">
      <c r="A12" s="12" t="s">
        <v>12</v>
      </c>
      <c r="B12" s="13" t="s">
        <v>13</v>
      </c>
      <c r="C12" s="13"/>
      <c r="D12" s="13"/>
      <c r="E12" s="13"/>
      <c r="F12" s="13"/>
      <c r="G12" s="13"/>
      <c r="H12" s="13"/>
    </row>
    <row r="13" customFormat="false" ht="18" hidden="false" customHeight="true" outlineLevel="0" collapsed="false">
      <c r="A13" s="12"/>
      <c r="B13" s="14" t="s">
        <v>14</v>
      </c>
      <c r="C13" s="14"/>
      <c r="D13" s="14"/>
      <c r="E13" s="14"/>
      <c r="F13" s="14"/>
      <c r="G13" s="14"/>
      <c r="H13" s="14"/>
    </row>
    <row r="14" customFormat="false" ht="18" hidden="false" customHeight="true" outlineLevel="0" collapsed="false">
      <c r="A14" s="12"/>
      <c r="B14" s="8" t="s">
        <v>15</v>
      </c>
      <c r="C14" s="8"/>
      <c r="D14" s="8"/>
      <c r="E14" s="8"/>
      <c r="F14" s="8"/>
      <c r="G14" s="8"/>
      <c r="H14" s="8"/>
    </row>
    <row r="16" customFormat="false" ht="21.75" hidden="false" customHeight="true" outlineLevel="0" collapsed="false">
      <c r="A16" s="4" t="s">
        <v>16</v>
      </c>
      <c r="B16" s="4"/>
      <c r="C16" s="4"/>
      <c r="D16" s="4"/>
      <c r="E16" s="4"/>
      <c r="F16" s="4"/>
      <c r="G16" s="4"/>
      <c r="H16" s="4"/>
    </row>
    <row r="17" customFormat="false" ht="19.5" hidden="false" customHeight="true" outlineLevel="0" collapsed="false">
      <c r="A17" s="15" t="s">
        <v>17</v>
      </c>
      <c r="B17" s="15" t="s">
        <v>18</v>
      </c>
      <c r="C17" s="16" t="s">
        <v>19</v>
      </c>
      <c r="D17" s="16" t="s">
        <v>20</v>
      </c>
    </row>
    <row r="18" customFormat="false" ht="19.5" hidden="false" customHeight="true" outlineLevel="0" collapsed="false">
      <c r="A18" s="17" t="s">
        <v>21</v>
      </c>
      <c r="B18" s="17" t="s">
        <v>22</v>
      </c>
      <c r="C18" s="18" t="s">
        <v>23</v>
      </c>
      <c r="D18" s="18" t="s">
        <v>24</v>
      </c>
    </row>
    <row r="19" customFormat="false" ht="19.5" hidden="false" customHeight="true" outlineLevel="0" collapsed="false">
      <c r="A19" s="15" t="s">
        <v>25</v>
      </c>
      <c r="B19" s="15" t="s">
        <v>26</v>
      </c>
      <c r="C19" s="16" t="s">
        <v>27</v>
      </c>
      <c r="D19" s="16" t="s">
        <v>28</v>
      </c>
    </row>
    <row r="20" customFormat="false" ht="19.5" hidden="false" customHeight="true" outlineLevel="0" collapsed="false">
      <c r="A20" s="17" t="s">
        <v>29</v>
      </c>
      <c r="B20" s="17" t="s">
        <v>30</v>
      </c>
      <c r="C20" s="18" t="s">
        <v>31</v>
      </c>
      <c r="D20" s="18" t="s">
        <v>32</v>
      </c>
    </row>
    <row r="21" customFormat="false" ht="19.5" hidden="false" customHeight="true" outlineLevel="0" collapsed="false">
      <c r="A21" s="15" t="s">
        <v>33</v>
      </c>
      <c r="B21" s="15" t="s">
        <v>34</v>
      </c>
      <c r="C21" s="16" t="s">
        <v>35</v>
      </c>
      <c r="D21" s="16" t="s">
        <v>36</v>
      </c>
    </row>
    <row r="22" customFormat="false" ht="19.5" hidden="false" customHeight="true" outlineLevel="0" collapsed="false">
      <c r="A22" s="17" t="s">
        <v>37</v>
      </c>
      <c r="B22" s="17" t="s">
        <v>38</v>
      </c>
      <c r="C22" s="18" t="s">
        <v>39</v>
      </c>
      <c r="D22" s="18" t="s">
        <v>40</v>
      </c>
    </row>
    <row r="23" customFormat="false" ht="19.5" hidden="false" customHeight="true" outlineLevel="0" collapsed="false">
      <c r="A23" s="15" t="s">
        <v>41</v>
      </c>
      <c r="B23" s="15" t="s">
        <v>42</v>
      </c>
      <c r="C23" s="16" t="s">
        <v>43</v>
      </c>
      <c r="D23" s="16" t="s">
        <v>44</v>
      </c>
    </row>
    <row r="24" customFormat="false" ht="19.5" hidden="false" customHeight="true" outlineLevel="0" collapsed="false">
      <c r="A24" s="17" t="s">
        <v>45</v>
      </c>
      <c r="B24" s="17" t="s">
        <v>46</v>
      </c>
      <c r="C24" s="18" t="s">
        <v>47</v>
      </c>
      <c r="D24" s="18" t="s">
        <v>48</v>
      </c>
    </row>
    <row r="25" customFormat="false" ht="19.5" hidden="false" customHeight="true" outlineLevel="0" collapsed="false">
      <c r="A25" s="15" t="s">
        <v>49</v>
      </c>
      <c r="B25" s="15" t="s">
        <v>50</v>
      </c>
      <c r="C25" s="16" t="s">
        <v>51</v>
      </c>
      <c r="D25" s="16" t="s">
        <v>52</v>
      </c>
    </row>
    <row r="26" customFormat="false" ht="19.5" hidden="false" customHeight="true" outlineLevel="0" collapsed="false">
      <c r="A26" s="17" t="s">
        <v>53</v>
      </c>
      <c r="B26" s="17" t="s">
        <v>54</v>
      </c>
      <c r="C26" s="18" t="s">
        <v>55</v>
      </c>
      <c r="D26" s="18" t="s">
        <v>56</v>
      </c>
    </row>
  </sheetData>
  <mergeCells count="17">
    <mergeCell ref="A1:I1"/>
    <mergeCell ref="A2:I2"/>
    <mergeCell ref="A3:I3"/>
    <mergeCell ref="A5:H5"/>
    <mergeCell ref="A6:A8"/>
    <mergeCell ref="B6:H6"/>
    <mergeCell ref="B7:H7"/>
    <mergeCell ref="B8:H8"/>
    <mergeCell ref="A9:A11"/>
    <mergeCell ref="B9:H9"/>
    <mergeCell ref="B10:H10"/>
    <mergeCell ref="B11:H11"/>
    <mergeCell ref="A12:A14"/>
    <mergeCell ref="B12:H12"/>
    <mergeCell ref="B13:H13"/>
    <mergeCell ref="B14:H14"/>
    <mergeCell ref="A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0"/>
    <col collapsed="false" customWidth="true" hidden="false" outlineLevel="0" max="5" min="5" style="0" width="14"/>
    <col collapsed="false" customWidth="true" hidden="false" outlineLevel="0" max="6" min="6" style="0" width="26"/>
    <col collapsed="false" customWidth="true" hidden="false" outlineLevel="0" max="7" min="7" style="0" width="40"/>
    <col collapsed="false" customWidth="true" hidden="false" outlineLevel="0" max="8" min="8" style="0" width="28"/>
  </cols>
  <sheetData>
    <row r="1" customFormat="false" ht="43.5" hidden="false" customHeight="true" outlineLevel="0" collapsed="false">
      <c r="A1" s="1" t="s">
        <v>57</v>
      </c>
      <c r="B1" s="1"/>
      <c r="C1" s="1"/>
      <c r="D1" s="1"/>
      <c r="E1" s="1"/>
      <c r="F1" s="1"/>
      <c r="G1" s="1"/>
      <c r="H1" s="1"/>
      <c r="I1" s="1"/>
    </row>
    <row r="2" customFormat="false" ht="19.5" hidden="false" customHeight="true" outlineLevel="0" collapsed="false">
      <c r="A2" s="2" t="s">
        <v>58</v>
      </c>
      <c r="B2" s="2"/>
      <c r="C2" s="2"/>
      <c r="D2" s="2"/>
      <c r="E2" s="2"/>
      <c r="F2" s="2"/>
      <c r="G2" s="2"/>
      <c r="H2" s="2"/>
      <c r="I2" s="2"/>
    </row>
    <row r="3" customFormat="false" ht="15.75" hidden="false" customHeight="true" outlineLevel="0" collapsed="false">
      <c r="A3" s="3" t="s">
        <v>59</v>
      </c>
      <c r="B3" s="3"/>
      <c r="C3" s="3"/>
      <c r="D3" s="3"/>
      <c r="E3" s="3"/>
      <c r="F3" s="3"/>
      <c r="G3" s="3"/>
      <c r="H3" s="3"/>
      <c r="I3" s="3"/>
    </row>
    <row r="4" customFormat="false" ht="9.75" hidden="false" customHeight="true" outlineLevel="0" collapsed="false"/>
    <row r="5" customFormat="false" ht="36" hidden="false" customHeight="true" outlineLevel="0" collapsed="false">
      <c r="A5" s="19" t="s">
        <v>60</v>
      </c>
      <c r="B5" s="20" t="s">
        <v>61</v>
      </c>
      <c r="C5" s="21" t="s">
        <v>62</v>
      </c>
      <c r="D5" s="22" t="s">
        <v>63</v>
      </c>
      <c r="E5" s="23" t="s">
        <v>64</v>
      </c>
      <c r="F5" s="24" t="s">
        <v>65</v>
      </c>
      <c r="G5" s="25" t="s">
        <v>66</v>
      </c>
      <c r="H5" s="19" t="s">
        <v>67</v>
      </c>
    </row>
    <row r="6" customFormat="false" ht="21.75" hidden="false" customHeight="true" outlineLevel="0" collapsed="false">
      <c r="A6" s="26" t="s">
        <v>68</v>
      </c>
      <c r="B6" s="26"/>
      <c r="C6" s="26"/>
      <c r="D6" s="26"/>
      <c r="E6" s="26"/>
      <c r="F6" s="26"/>
      <c r="G6" s="26"/>
      <c r="H6" s="26"/>
      <c r="I6" s="26"/>
    </row>
    <row r="7" customFormat="false" ht="15.75" hidden="false" customHeight="true" outlineLevel="0" collapsed="false">
      <c r="A7" s="27" t="s">
        <v>69</v>
      </c>
      <c r="B7" s="27"/>
      <c r="C7" s="27"/>
      <c r="D7" s="27"/>
      <c r="E7" s="27"/>
      <c r="F7" s="27"/>
      <c r="G7" s="27"/>
      <c r="H7" s="27"/>
      <c r="I7" s="27"/>
    </row>
    <row r="8" customFormat="false" ht="30" hidden="false" customHeight="true" outlineLevel="0" collapsed="false">
      <c r="A8" s="28" t="s">
        <v>70</v>
      </c>
      <c r="B8" s="29" t="s">
        <v>71</v>
      </c>
      <c r="C8" s="30" t="s">
        <v>72</v>
      </c>
      <c r="D8" s="30" t="s">
        <v>73</v>
      </c>
      <c r="E8" s="31" t="s">
        <v>74</v>
      </c>
      <c r="F8" s="32" t="s">
        <v>75</v>
      </c>
      <c r="G8" s="33" t="s">
        <v>76</v>
      </c>
      <c r="H8" s="34" t="s">
        <v>77</v>
      </c>
    </row>
    <row r="9" customFormat="false" ht="30" hidden="false" customHeight="true" outlineLevel="0" collapsed="false">
      <c r="A9" s="35" t="s">
        <v>78</v>
      </c>
      <c r="B9" s="36" t="s">
        <v>79</v>
      </c>
      <c r="C9" s="37" t="s">
        <v>80</v>
      </c>
      <c r="D9" s="36" t="s">
        <v>81</v>
      </c>
      <c r="E9" s="31" t="s">
        <v>82</v>
      </c>
      <c r="F9" s="32" t="s">
        <v>83</v>
      </c>
      <c r="G9" s="18" t="s">
        <v>84</v>
      </c>
      <c r="H9" s="38" t="s">
        <v>85</v>
      </c>
    </row>
    <row r="10" customFormat="false" ht="30" hidden="false" customHeight="true" outlineLevel="0" collapsed="false">
      <c r="A10" s="28" t="s">
        <v>86</v>
      </c>
      <c r="B10" s="39" t="s">
        <v>87</v>
      </c>
      <c r="C10" s="37" t="s">
        <v>88</v>
      </c>
      <c r="D10" s="40" t="s">
        <v>89</v>
      </c>
      <c r="E10" s="31" t="s">
        <v>90</v>
      </c>
      <c r="F10" s="32" t="s">
        <v>91</v>
      </c>
      <c r="G10" s="33" t="s">
        <v>92</v>
      </c>
      <c r="H10" s="34" t="s">
        <v>93</v>
      </c>
    </row>
    <row r="11" customFormat="false" ht="30" hidden="false" customHeight="true" outlineLevel="0" collapsed="false">
      <c r="A11" s="35" t="s">
        <v>94</v>
      </c>
      <c r="B11" s="39" t="s">
        <v>95</v>
      </c>
      <c r="C11" s="37" t="s">
        <v>96</v>
      </c>
      <c r="D11" s="40" t="s">
        <v>97</v>
      </c>
      <c r="E11" s="31" t="s">
        <v>98</v>
      </c>
      <c r="F11" s="32" t="s">
        <v>99</v>
      </c>
      <c r="G11" s="18" t="s">
        <v>100</v>
      </c>
      <c r="H11" s="38" t="s">
        <v>101</v>
      </c>
    </row>
    <row r="12" customFormat="false" ht="30" hidden="false" customHeight="true" outlineLevel="0" collapsed="false">
      <c r="A12" s="28" t="s">
        <v>102</v>
      </c>
      <c r="B12" s="30" t="s">
        <v>103</v>
      </c>
      <c r="C12" s="37" t="s">
        <v>104</v>
      </c>
      <c r="D12" s="39" t="s">
        <v>105</v>
      </c>
      <c r="E12" s="31" t="s">
        <v>106</v>
      </c>
      <c r="F12" s="32" t="s">
        <v>107</v>
      </c>
      <c r="G12" s="33" t="s">
        <v>108</v>
      </c>
      <c r="H12" s="34" t="s">
        <v>109</v>
      </c>
    </row>
    <row r="13" customFormat="false" ht="21.75" hidden="false" customHeight="true" outlineLevel="0" collapsed="false">
      <c r="A13" s="26" t="s">
        <v>110</v>
      </c>
      <c r="B13" s="26"/>
      <c r="C13" s="26"/>
      <c r="D13" s="26"/>
      <c r="E13" s="26"/>
      <c r="F13" s="26"/>
      <c r="G13" s="26"/>
      <c r="H13" s="26"/>
      <c r="I13" s="26"/>
    </row>
    <row r="14" customFormat="false" ht="15.75" hidden="false" customHeight="true" outlineLevel="0" collapsed="false">
      <c r="A14" s="27" t="s">
        <v>111</v>
      </c>
      <c r="B14" s="27"/>
      <c r="C14" s="27"/>
      <c r="D14" s="27"/>
      <c r="E14" s="27"/>
      <c r="F14" s="27"/>
      <c r="G14" s="27"/>
      <c r="H14" s="27"/>
      <c r="I14" s="27"/>
    </row>
    <row r="15" customFormat="false" ht="30" hidden="false" customHeight="true" outlineLevel="0" collapsed="false">
      <c r="A15" s="35" t="s">
        <v>112</v>
      </c>
      <c r="B15" s="36" t="s">
        <v>113</v>
      </c>
      <c r="C15" s="36" t="s">
        <v>114</v>
      </c>
      <c r="D15" s="36" t="s">
        <v>115</v>
      </c>
      <c r="E15" s="31" t="s">
        <v>116</v>
      </c>
      <c r="F15" s="32" t="s">
        <v>117</v>
      </c>
      <c r="G15" s="18" t="s">
        <v>118</v>
      </c>
      <c r="H15" s="38" t="s">
        <v>119</v>
      </c>
    </row>
    <row r="16" customFormat="false" ht="30" hidden="false" customHeight="true" outlineLevel="0" collapsed="false">
      <c r="A16" s="28" t="s">
        <v>120</v>
      </c>
      <c r="B16" s="39" t="s">
        <v>121</v>
      </c>
      <c r="C16" s="37" t="s">
        <v>122</v>
      </c>
      <c r="D16" s="40" t="s">
        <v>123</v>
      </c>
      <c r="E16" s="31" t="s">
        <v>124</v>
      </c>
      <c r="F16" s="32" t="s">
        <v>125</v>
      </c>
      <c r="G16" s="33" t="s">
        <v>126</v>
      </c>
      <c r="H16" s="34" t="s">
        <v>127</v>
      </c>
    </row>
    <row r="17" customFormat="false" ht="30" hidden="false" customHeight="true" outlineLevel="0" collapsed="false">
      <c r="A17" s="35" t="s">
        <v>128</v>
      </c>
      <c r="B17" s="39" t="s">
        <v>129</v>
      </c>
      <c r="C17" s="37" t="s">
        <v>130</v>
      </c>
      <c r="D17" s="40" t="s">
        <v>131</v>
      </c>
      <c r="E17" s="31" t="s">
        <v>132</v>
      </c>
      <c r="F17" s="32" t="s">
        <v>133</v>
      </c>
      <c r="G17" s="18" t="s">
        <v>134</v>
      </c>
      <c r="H17" s="38" t="s">
        <v>135</v>
      </c>
    </row>
    <row r="18" customFormat="false" ht="30" hidden="false" customHeight="true" outlineLevel="0" collapsed="false">
      <c r="A18" s="28" t="s">
        <v>136</v>
      </c>
      <c r="B18" s="30" t="s">
        <v>137</v>
      </c>
      <c r="C18" s="30" t="s">
        <v>138</v>
      </c>
      <c r="D18" s="30" t="s">
        <v>139</v>
      </c>
      <c r="E18" s="31" t="s">
        <v>140</v>
      </c>
      <c r="F18" s="32" t="s">
        <v>141</v>
      </c>
      <c r="G18" s="33" t="s">
        <v>142</v>
      </c>
      <c r="H18" s="34" t="s">
        <v>143</v>
      </c>
    </row>
    <row r="19" customFormat="false" ht="21.75" hidden="false" customHeight="true" outlineLevel="0" collapsed="false">
      <c r="A19" s="26" t="s">
        <v>144</v>
      </c>
      <c r="B19" s="26"/>
      <c r="C19" s="26"/>
      <c r="D19" s="26"/>
      <c r="E19" s="26"/>
      <c r="F19" s="26"/>
      <c r="G19" s="26"/>
      <c r="H19" s="26"/>
      <c r="I19" s="26"/>
    </row>
    <row r="20" customFormat="false" ht="15.75" hidden="false" customHeight="true" outlineLevel="0" collapsed="false">
      <c r="A20" s="27" t="s">
        <v>145</v>
      </c>
      <c r="B20" s="27"/>
      <c r="C20" s="27"/>
      <c r="D20" s="27"/>
      <c r="E20" s="27"/>
      <c r="F20" s="27"/>
      <c r="G20" s="27"/>
      <c r="H20" s="27"/>
      <c r="I20" s="27"/>
    </row>
    <row r="21" customFormat="false" ht="30" hidden="false" customHeight="true" outlineLevel="0" collapsed="false">
      <c r="A21" s="35" t="s">
        <v>146</v>
      </c>
      <c r="B21" s="36" t="s">
        <v>147</v>
      </c>
      <c r="C21" s="36" t="s">
        <v>148</v>
      </c>
      <c r="D21" s="36" t="s">
        <v>149</v>
      </c>
      <c r="E21" s="31" t="s">
        <v>150</v>
      </c>
      <c r="F21" s="32" t="s">
        <v>151</v>
      </c>
      <c r="G21" s="18" t="s">
        <v>152</v>
      </c>
      <c r="H21" s="38" t="s">
        <v>153</v>
      </c>
    </row>
    <row r="22" customFormat="false" ht="30" hidden="false" customHeight="true" outlineLevel="0" collapsed="false">
      <c r="A22" s="28" t="s">
        <v>154</v>
      </c>
      <c r="B22" s="30" t="s">
        <v>155</v>
      </c>
      <c r="C22" s="30" t="s">
        <v>156</v>
      </c>
      <c r="D22" s="30" t="s">
        <v>157</v>
      </c>
      <c r="E22" s="31" t="s">
        <v>158</v>
      </c>
      <c r="F22" s="32" t="s">
        <v>159</v>
      </c>
      <c r="G22" s="33" t="s">
        <v>160</v>
      </c>
      <c r="H22" s="34" t="s">
        <v>161</v>
      </c>
    </row>
    <row r="100" customFormat="false" ht="15" hidden="false" customHeight="false" outlineLevel="0" collapsed="false">
      <c r="A100" s="0" t="s">
        <v>162</v>
      </c>
      <c r="B100" s="0" t="n">
        <v>42</v>
      </c>
      <c r="C100" s="0" t="n">
        <v>28</v>
      </c>
      <c r="D100" s="0" t="n">
        <v>38</v>
      </c>
    </row>
    <row r="101" customFormat="false" ht="15" hidden="false" customHeight="false" outlineLevel="0" collapsed="false">
      <c r="A101" s="0" t="s">
        <v>163</v>
      </c>
      <c r="B101" s="0" t="n">
        <v>46</v>
      </c>
      <c r="C101" s="0" t="n">
        <v>62</v>
      </c>
      <c r="D101" s="0" t="n">
        <v>68</v>
      </c>
    </row>
    <row r="102" customFormat="false" ht="15" hidden="false" customHeight="false" outlineLevel="0" collapsed="false">
      <c r="A102" s="0" t="s">
        <v>164</v>
      </c>
      <c r="B102" s="0" t="n">
        <v>14</v>
      </c>
      <c r="C102" s="0" t="n">
        <v>22</v>
      </c>
      <c r="D102" s="0" t="n">
        <v>18</v>
      </c>
    </row>
    <row r="103" customFormat="false" ht="15" hidden="false" customHeight="false" outlineLevel="0" collapsed="false">
      <c r="A103" s="0" t="s">
        <v>165</v>
      </c>
      <c r="B103" s="0" t="n">
        <v>8</v>
      </c>
      <c r="C103" s="0" t="n">
        <v>9</v>
      </c>
      <c r="D103" s="0" t="n">
        <v>4</v>
      </c>
    </row>
  </sheetData>
  <mergeCells count="9">
    <mergeCell ref="A1:I1"/>
    <mergeCell ref="A2:I2"/>
    <mergeCell ref="A3:I3"/>
    <mergeCell ref="A6:I6"/>
    <mergeCell ref="A7:I7"/>
    <mergeCell ref="A13:I13"/>
    <mergeCell ref="A14:I14"/>
    <mergeCell ref="A19:I19"/>
    <mergeCell ref="A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0"/>
    <col collapsed="false" customWidth="true" hidden="false" outlineLevel="0" max="5" min="5" style="0" width="14"/>
    <col collapsed="false" customWidth="true" hidden="false" outlineLevel="0" max="6" min="6" style="0" width="26"/>
    <col collapsed="false" customWidth="true" hidden="false" outlineLevel="0" max="7" min="7" style="0" width="40"/>
    <col collapsed="false" customWidth="true" hidden="false" outlineLevel="0" max="8" min="8" style="0" width="28"/>
  </cols>
  <sheetData>
    <row r="1" customFormat="false" ht="43.5" hidden="false" customHeight="true" outlineLevel="0" collapsed="false">
      <c r="A1" s="1" t="s">
        <v>166</v>
      </c>
      <c r="B1" s="1"/>
      <c r="C1" s="1"/>
      <c r="D1" s="1"/>
      <c r="E1" s="1"/>
      <c r="F1" s="1"/>
      <c r="G1" s="1"/>
      <c r="H1" s="1"/>
      <c r="I1" s="1"/>
    </row>
    <row r="2" customFormat="false" ht="19.5" hidden="false" customHeight="true" outlineLevel="0" collapsed="false">
      <c r="A2" s="2" t="s">
        <v>167</v>
      </c>
      <c r="B2" s="2"/>
      <c r="C2" s="2"/>
      <c r="D2" s="2"/>
      <c r="E2" s="2"/>
      <c r="F2" s="2"/>
      <c r="G2" s="2"/>
      <c r="H2" s="2"/>
      <c r="I2" s="2"/>
    </row>
    <row r="3" customFormat="false" ht="15.75" hidden="false" customHeight="true" outlineLevel="0" collapsed="false">
      <c r="A3" s="3" t="s">
        <v>168</v>
      </c>
      <c r="B3" s="3"/>
      <c r="C3" s="3"/>
      <c r="D3" s="3"/>
      <c r="E3" s="3"/>
      <c r="F3" s="3"/>
      <c r="G3" s="3"/>
      <c r="H3" s="3"/>
      <c r="I3" s="3"/>
    </row>
    <row r="4" customFormat="false" ht="9.75" hidden="false" customHeight="true" outlineLevel="0" collapsed="false"/>
    <row r="5" customFormat="false" ht="36" hidden="false" customHeight="true" outlineLevel="0" collapsed="false">
      <c r="A5" s="19" t="s">
        <v>60</v>
      </c>
      <c r="B5" s="20" t="s">
        <v>61</v>
      </c>
      <c r="C5" s="21" t="s">
        <v>62</v>
      </c>
      <c r="D5" s="22" t="s">
        <v>63</v>
      </c>
      <c r="E5" s="23" t="s">
        <v>64</v>
      </c>
      <c r="F5" s="24" t="s">
        <v>65</v>
      </c>
      <c r="G5" s="25" t="s">
        <v>66</v>
      </c>
      <c r="H5" s="19" t="s">
        <v>67</v>
      </c>
    </row>
    <row r="6" customFormat="false" ht="21.75" hidden="false" customHeight="true" outlineLevel="0" collapsed="false">
      <c r="A6" s="26" t="s">
        <v>169</v>
      </c>
      <c r="B6" s="26"/>
      <c r="C6" s="26"/>
      <c r="D6" s="26"/>
      <c r="E6" s="26"/>
      <c r="F6" s="26"/>
      <c r="G6" s="26"/>
      <c r="H6" s="26"/>
      <c r="I6" s="26"/>
    </row>
    <row r="7" customFormat="false" ht="15.75" hidden="false" customHeight="true" outlineLevel="0" collapsed="false">
      <c r="A7" s="27" t="s">
        <v>170</v>
      </c>
      <c r="B7" s="27"/>
      <c r="C7" s="27"/>
      <c r="D7" s="27"/>
      <c r="E7" s="27"/>
      <c r="F7" s="27"/>
      <c r="G7" s="27"/>
      <c r="H7" s="27"/>
      <c r="I7" s="27"/>
    </row>
    <row r="8" customFormat="false" ht="30" hidden="false" customHeight="true" outlineLevel="0" collapsed="false">
      <c r="A8" s="28" t="s">
        <v>171</v>
      </c>
      <c r="B8" s="29" t="s">
        <v>172</v>
      </c>
      <c r="C8" s="30" t="s">
        <v>173</v>
      </c>
      <c r="D8" s="30" t="s">
        <v>174</v>
      </c>
      <c r="E8" s="31" t="s">
        <v>175</v>
      </c>
      <c r="F8" s="32" t="s">
        <v>176</v>
      </c>
      <c r="G8" s="33" t="s">
        <v>177</v>
      </c>
      <c r="H8" s="34" t="s">
        <v>178</v>
      </c>
    </row>
    <row r="9" customFormat="false" ht="30" hidden="false" customHeight="true" outlineLevel="0" collapsed="false">
      <c r="A9" s="35" t="s">
        <v>179</v>
      </c>
      <c r="B9" s="29" t="s">
        <v>180</v>
      </c>
      <c r="C9" s="36" t="s">
        <v>181</v>
      </c>
      <c r="D9" s="36" t="s">
        <v>140</v>
      </c>
      <c r="E9" s="31" t="s">
        <v>182</v>
      </c>
      <c r="F9" s="32" t="s">
        <v>183</v>
      </c>
      <c r="G9" s="18" t="s">
        <v>184</v>
      </c>
      <c r="H9" s="38" t="s">
        <v>185</v>
      </c>
    </row>
    <row r="10" customFormat="false" ht="30" hidden="false" customHeight="true" outlineLevel="0" collapsed="false">
      <c r="A10" s="28" t="s">
        <v>186</v>
      </c>
      <c r="B10" s="37" t="s">
        <v>187</v>
      </c>
      <c r="C10" s="40" t="s">
        <v>188</v>
      </c>
      <c r="D10" s="30" t="s">
        <v>140</v>
      </c>
      <c r="E10" s="31" t="s">
        <v>189</v>
      </c>
      <c r="F10" s="32" t="s">
        <v>190</v>
      </c>
      <c r="G10" s="33" t="s">
        <v>191</v>
      </c>
      <c r="H10" s="34" t="s">
        <v>192</v>
      </c>
    </row>
    <row r="11" customFormat="false" ht="30" hidden="false" customHeight="true" outlineLevel="0" collapsed="false">
      <c r="A11" s="35" t="s">
        <v>193</v>
      </c>
      <c r="B11" s="37" t="s">
        <v>194</v>
      </c>
      <c r="C11" s="39" t="s">
        <v>195</v>
      </c>
      <c r="D11" s="36" t="s">
        <v>140</v>
      </c>
      <c r="E11" s="31" t="s">
        <v>196</v>
      </c>
      <c r="F11" s="32" t="s">
        <v>197</v>
      </c>
      <c r="G11" s="18" t="s">
        <v>198</v>
      </c>
      <c r="H11" s="38" t="s">
        <v>199</v>
      </c>
    </row>
    <row r="12" customFormat="false" ht="21.75" hidden="false" customHeight="true" outlineLevel="0" collapsed="false">
      <c r="A12" s="26" t="s">
        <v>200</v>
      </c>
      <c r="B12" s="26"/>
      <c r="C12" s="26"/>
      <c r="D12" s="26"/>
      <c r="E12" s="26"/>
      <c r="F12" s="26"/>
      <c r="G12" s="26"/>
      <c r="H12" s="26"/>
      <c r="I12" s="26"/>
    </row>
    <row r="13" customFormat="false" ht="15.75" hidden="false" customHeight="true" outlineLevel="0" collapsed="false">
      <c r="A13" s="27" t="s">
        <v>201</v>
      </c>
      <c r="B13" s="27"/>
      <c r="C13" s="27"/>
      <c r="D13" s="27"/>
      <c r="E13" s="27"/>
      <c r="F13" s="27"/>
      <c r="G13" s="27"/>
      <c r="H13" s="27"/>
      <c r="I13" s="27"/>
    </row>
    <row r="14" customFormat="false" ht="30" hidden="false" customHeight="true" outlineLevel="0" collapsed="false">
      <c r="A14" s="28" t="s">
        <v>202</v>
      </c>
      <c r="B14" s="40" t="s">
        <v>203</v>
      </c>
      <c r="C14" s="37" t="s">
        <v>204</v>
      </c>
      <c r="D14" s="39" t="s">
        <v>205</v>
      </c>
      <c r="E14" s="31" t="s">
        <v>206</v>
      </c>
      <c r="F14" s="32" t="s">
        <v>207</v>
      </c>
      <c r="G14" s="33" t="s">
        <v>208</v>
      </c>
      <c r="H14" s="34" t="s">
        <v>209</v>
      </c>
    </row>
    <row r="15" customFormat="false" ht="30" hidden="false" customHeight="true" outlineLevel="0" collapsed="false">
      <c r="A15" s="35" t="s">
        <v>210</v>
      </c>
      <c r="B15" s="36" t="s">
        <v>211</v>
      </c>
      <c r="C15" s="36" t="s">
        <v>212</v>
      </c>
      <c r="D15" s="29" t="s">
        <v>213</v>
      </c>
      <c r="E15" s="31" t="s">
        <v>214</v>
      </c>
      <c r="F15" s="32" t="s">
        <v>215</v>
      </c>
      <c r="G15" s="18" t="s">
        <v>216</v>
      </c>
      <c r="H15" s="38" t="s">
        <v>217</v>
      </c>
    </row>
    <row r="16" customFormat="false" ht="30" hidden="false" customHeight="true" outlineLevel="0" collapsed="false">
      <c r="A16" s="28" t="s">
        <v>218</v>
      </c>
      <c r="B16" s="30" t="s">
        <v>219</v>
      </c>
      <c r="C16" s="30" t="s">
        <v>220</v>
      </c>
      <c r="D16" s="29" t="s">
        <v>221</v>
      </c>
      <c r="E16" s="31" t="s">
        <v>222</v>
      </c>
      <c r="F16" s="32" t="s">
        <v>223</v>
      </c>
      <c r="G16" s="33" t="s">
        <v>224</v>
      </c>
      <c r="H16" s="34" t="s">
        <v>225</v>
      </c>
    </row>
    <row r="17" customFormat="false" ht="30" hidden="false" customHeight="true" outlineLevel="0" collapsed="false">
      <c r="A17" s="35" t="s">
        <v>226</v>
      </c>
      <c r="B17" s="36" t="s">
        <v>227</v>
      </c>
      <c r="C17" s="37" t="s">
        <v>228</v>
      </c>
      <c r="D17" s="39" t="s">
        <v>72</v>
      </c>
      <c r="E17" s="31" t="s">
        <v>229</v>
      </c>
      <c r="F17" s="32" t="s">
        <v>230</v>
      </c>
      <c r="G17" s="18" t="s">
        <v>231</v>
      </c>
      <c r="H17" s="38" t="s">
        <v>232</v>
      </c>
    </row>
    <row r="18" customFormat="false" ht="30" hidden="false" customHeight="true" outlineLevel="0" collapsed="false">
      <c r="A18" s="28" t="s">
        <v>233</v>
      </c>
      <c r="B18" s="30" t="s">
        <v>97</v>
      </c>
      <c r="C18" s="37" t="s">
        <v>234</v>
      </c>
      <c r="D18" s="39" t="s">
        <v>235</v>
      </c>
      <c r="E18" s="31" t="s">
        <v>236</v>
      </c>
      <c r="F18" s="32" t="s">
        <v>237</v>
      </c>
      <c r="G18" s="33" t="s">
        <v>238</v>
      </c>
      <c r="H18" s="34" t="s">
        <v>239</v>
      </c>
    </row>
    <row r="19" customFormat="false" ht="21.75" hidden="false" customHeight="true" outlineLevel="0" collapsed="false">
      <c r="A19" s="26" t="s">
        <v>240</v>
      </c>
      <c r="B19" s="26"/>
      <c r="C19" s="26"/>
      <c r="D19" s="26"/>
      <c r="E19" s="26"/>
      <c r="F19" s="26"/>
      <c r="G19" s="26"/>
      <c r="H19" s="26"/>
      <c r="I19" s="26"/>
    </row>
    <row r="20" customFormat="false" ht="15.75" hidden="false" customHeight="true" outlineLevel="0" collapsed="false">
      <c r="A20" s="27" t="s">
        <v>241</v>
      </c>
      <c r="B20" s="27"/>
      <c r="C20" s="27"/>
      <c r="D20" s="27"/>
      <c r="E20" s="27"/>
      <c r="F20" s="27"/>
      <c r="G20" s="27"/>
      <c r="H20" s="27"/>
      <c r="I20" s="27"/>
    </row>
    <row r="21" customFormat="false" ht="30" hidden="false" customHeight="true" outlineLevel="0" collapsed="false">
      <c r="A21" s="35" t="s">
        <v>242</v>
      </c>
      <c r="B21" s="39" t="s">
        <v>243</v>
      </c>
      <c r="C21" s="37" t="s">
        <v>244</v>
      </c>
      <c r="D21" s="40" t="s">
        <v>245</v>
      </c>
      <c r="E21" s="31" t="s">
        <v>246</v>
      </c>
      <c r="F21" s="32" t="s">
        <v>247</v>
      </c>
      <c r="G21" s="18" t="s">
        <v>248</v>
      </c>
      <c r="H21" s="38" t="s">
        <v>249</v>
      </c>
    </row>
    <row r="22" customFormat="false" ht="30" hidden="false" customHeight="true" outlineLevel="0" collapsed="false">
      <c r="A22" s="28" t="s">
        <v>250</v>
      </c>
      <c r="B22" s="30" t="s">
        <v>251</v>
      </c>
      <c r="C22" s="30" t="s">
        <v>252</v>
      </c>
      <c r="D22" s="30" t="s">
        <v>253</v>
      </c>
      <c r="E22" s="31" t="s">
        <v>254</v>
      </c>
      <c r="F22" s="32" t="s">
        <v>255</v>
      </c>
      <c r="G22" s="33" t="s">
        <v>256</v>
      </c>
      <c r="H22" s="34" t="s">
        <v>257</v>
      </c>
    </row>
    <row r="23" customFormat="false" ht="30" hidden="false" customHeight="true" outlineLevel="0" collapsed="false">
      <c r="A23" s="35" t="s">
        <v>258</v>
      </c>
      <c r="B23" s="39" t="s">
        <v>259</v>
      </c>
      <c r="C23" s="37" t="s">
        <v>260</v>
      </c>
      <c r="D23" s="40" t="s">
        <v>261</v>
      </c>
      <c r="E23" s="31" t="s">
        <v>262</v>
      </c>
      <c r="F23" s="32" t="s">
        <v>263</v>
      </c>
      <c r="G23" s="18" t="s">
        <v>264</v>
      </c>
      <c r="H23" s="38" t="s">
        <v>265</v>
      </c>
    </row>
  </sheetData>
  <mergeCells count="9">
    <mergeCell ref="A1:I1"/>
    <mergeCell ref="A2:I2"/>
    <mergeCell ref="A3:I3"/>
    <mergeCell ref="A6:I6"/>
    <mergeCell ref="A7:I7"/>
    <mergeCell ref="A12:I12"/>
    <mergeCell ref="A13:I13"/>
    <mergeCell ref="A19:I19"/>
    <mergeCell ref="A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0"/>
    <col collapsed="false" customWidth="true" hidden="false" outlineLevel="0" max="5" min="5" style="0" width="14"/>
    <col collapsed="false" customWidth="true" hidden="false" outlineLevel="0" max="6" min="6" style="0" width="26"/>
    <col collapsed="false" customWidth="true" hidden="false" outlineLevel="0" max="7" min="7" style="0" width="40"/>
    <col collapsed="false" customWidth="true" hidden="false" outlineLevel="0" max="8" min="8" style="0" width="28"/>
  </cols>
  <sheetData>
    <row r="1" customFormat="false" ht="43.5" hidden="false" customHeight="true" outlineLevel="0" collapsed="false">
      <c r="A1" s="1" t="s">
        <v>266</v>
      </c>
      <c r="B1" s="1"/>
      <c r="C1" s="1"/>
      <c r="D1" s="1"/>
      <c r="E1" s="1"/>
      <c r="F1" s="1"/>
      <c r="G1" s="1"/>
      <c r="H1" s="1"/>
      <c r="I1" s="1"/>
    </row>
    <row r="2" customFormat="false" ht="19.5" hidden="false" customHeight="true" outlineLevel="0" collapsed="false">
      <c r="A2" s="2" t="s">
        <v>267</v>
      </c>
      <c r="B2" s="2"/>
      <c r="C2" s="2"/>
      <c r="D2" s="2"/>
      <c r="E2" s="2"/>
      <c r="F2" s="2"/>
      <c r="G2" s="2"/>
      <c r="H2" s="2"/>
      <c r="I2" s="2"/>
    </row>
    <row r="3" customFormat="false" ht="15.75" hidden="false" customHeight="true" outlineLevel="0" collapsed="false">
      <c r="A3" s="3" t="s">
        <v>268</v>
      </c>
      <c r="B3" s="3"/>
      <c r="C3" s="3"/>
      <c r="D3" s="3"/>
      <c r="E3" s="3"/>
      <c r="F3" s="3"/>
      <c r="G3" s="3"/>
      <c r="H3" s="3"/>
      <c r="I3" s="3"/>
    </row>
    <row r="4" customFormat="false" ht="9.75" hidden="false" customHeight="true" outlineLevel="0" collapsed="false"/>
    <row r="5" customFormat="false" ht="36" hidden="false" customHeight="true" outlineLevel="0" collapsed="false">
      <c r="A5" s="19" t="s">
        <v>60</v>
      </c>
      <c r="B5" s="20" t="s">
        <v>61</v>
      </c>
      <c r="C5" s="21" t="s">
        <v>62</v>
      </c>
      <c r="D5" s="22" t="s">
        <v>63</v>
      </c>
      <c r="E5" s="23" t="s">
        <v>64</v>
      </c>
      <c r="F5" s="24" t="s">
        <v>65</v>
      </c>
      <c r="G5" s="25" t="s">
        <v>66</v>
      </c>
      <c r="H5" s="19" t="s">
        <v>67</v>
      </c>
    </row>
    <row r="6" customFormat="false" ht="21.75" hidden="false" customHeight="true" outlineLevel="0" collapsed="false">
      <c r="A6" s="41" t="s">
        <v>269</v>
      </c>
      <c r="B6" s="41"/>
      <c r="C6" s="41"/>
      <c r="D6" s="41"/>
      <c r="E6" s="41"/>
      <c r="F6" s="41"/>
      <c r="G6" s="41"/>
      <c r="H6" s="41"/>
      <c r="I6" s="41"/>
    </row>
    <row r="7" customFormat="false" ht="15.75" hidden="false" customHeight="true" outlineLevel="0" collapsed="false">
      <c r="A7" s="27" t="s">
        <v>270</v>
      </c>
      <c r="B7" s="27"/>
      <c r="C7" s="27"/>
      <c r="D7" s="27"/>
      <c r="E7" s="27"/>
      <c r="F7" s="27"/>
      <c r="G7" s="27"/>
      <c r="H7" s="27"/>
      <c r="I7" s="27"/>
    </row>
    <row r="8" customFormat="false" ht="30" hidden="false" customHeight="true" outlineLevel="0" collapsed="false">
      <c r="A8" s="28" t="s">
        <v>271</v>
      </c>
      <c r="B8" s="30" t="s">
        <v>272</v>
      </c>
      <c r="C8" s="30" t="s">
        <v>273</v>
      </c>
      <c r="D8" s="30" t="s">
        <v>274</v>
      </c>
      <c r="E8" s="31" t="s">
        <v>275</v>
      </c>
      <c r="F8" s="32" t="s">
        <v>276</v>
      </c>
      <c r="G8" s="33" t="s">
        <v>277</v>
      </c>
      <c r="H8" s="34" t="s">
        <v>278</v>
      </c>
    </row>
    <row r="9" customFormat="false" ht="30" hidden="false" customHeight="true" outlineLevel="0" collapsed="false">
      <c r="A9" s="35" t="s">
        <v>279</v>
      </c>
      <c r="B9" s="36" t="s">
        <v>280</v>
      </c>
      <c r="C9" s="37" t="s">
        <v>88</v>
      </c>
      <c r="D9" s="37" t="s">
        <v>281</v>
      </c>
      <c r="E9" s="31" t="s">
        <v>282</v>
      </c>
      <c r="F9" s="32" t="s">
        <v>283</v>
      </c>
      <c r="G9" s="18" t="s">
        <v>284</v>
      </c>
      <c r="H9" s="38" t="s">
        <v>285</v>
      </c>
    </row>
    <row r="10" customFormat="false" ht="30" hidden="false" customHeight="true" outlineLevel="0" collapsed="false">
      <c r="A10" s="28" t="s">
        <v>286</v>
      </c>
      <c r="B10" s="30" t="s">
        <v>287</v>
      </c>
      <c r="C10" s="30" t="s">
        <v>288</v>
      </c>
      <c r="D10" s="30" t="s">
        <v>289</v>
      </c>
      <c r="E10" s="31" t="s">
        <v>290</v>
      </c>
      <c r="F10" s="32" t="s">
        <v>291</v>
      </c>
      <c r="G10" s="33" t="s">
        <v>292</v>
      </c>
      <c r="H10" s="34" t="s">
        <v>293</v>
      </c>
    </row>
    <row r="11" customFormat="false" ht="21.75" hidden="false" customHeight="true" outlineLevel="0" collapsed="false">
      <c r="A11" s="41" t="s">
        <v>294</v>
      </c>
      <c r="B11" s="41"/>
      <c r="C11" s="41"/>
      <c r="D11" s="41"/>
      <c r="E11" s="41"/>
      <c r="F11" s="41"/>
      <c r="G11" s="41"/>
      <c r="H11" s="41"/>
      <c r="I11" s="41"/>
    </row>
    <row r="12" customFormat="false" ht="15.75" hidden="false" customHeight="true" outlineLevel="0" collapsed="false">
      <c r="A12" s="27" t="s">
        <v>295</v>
      </c>
      <c r="B12" s="27"/>
      <c r="C12" s="27"/>
      <c r="D12" s="27"/>
      <c r="E12" s="27"/>
      <c r="F12" s="27"/>
      <c r="G12" s="27"/>
      <c r="H12" s="27"/>
      <c r="I12" s="27"/>
    </row>
    <row r="13" customFormat="false" ht="30" hidden="false" customHeight="true" outlineLevel="0" collapsed="false">
      <c r="A13" s="35" t="s">
        <v>296</v>
      </c>
      <c r="B13" s="36" t="s">
        <v>297</v>
      </c>
      <c r="C13" s="37" t="s">
        <v>298</v>
      </c>
      <c r="D13" s="40" t="s">
        <v>299</v>
      </c>
      <c r="E13" s="31" t="s">
        <v>300</v>
      </c>
      <c r="F13" s="32" t="s">
        <v>301</v>
      </c>
      <c r="G13" s="18" t="s">
        <v>302</v>
      </c>
      <c r="H13" s="38" t="s">
        <v>303</v>
      </c>
    </row>
    <row r="14" customFormat="false" ht="30" hidden="false" customHeight="true" outlineLevel="0" collapsed="false">
      <c r="A14" s="28" t="s">
        <v>304</v>
      </c>
      <c r="B14" s="30" t="s">
        <v>305</v>
      </c>
      <c r="C14" s="30" t="s">
        <v>306</v>
      </c>
      <c r="D14" s="30" t="s">
        <v>307</v>
      </c>
      <c r="E14" s="31" t="s">
        <v>308</v>
      </c>
      <c r="F14" s="32" t="s">
        <v>309</v>
      </c>
      <c r="G14" s="33" t="s">
        <v>310</v>
      </c>
      <c r="H14" s="34" t="s">
        <v>311</v>
      </c>
    </row>
    <row r="15" customFormat="false" ht="30" hidden="false" customHeight="true" outlineLevel="0" collapsed="false">
      <c r="A15" s="35" t="s">
        <v>312</v>
      </c>
      <c r="B15" s="36" t="s">
        <v>313</v>
      </c>
      <c r="C15" s="37" t="s">
        <v>314</v>
      </c>
      <c r="D15" s="39" t="s">
        <v>315</v>
      </c>
      <c r="E15" s="31" t="s">
        <v>316</v>
      </c>
      <c r="F15" s="32" t="s">
        <v>317</v>
      </c>
      <c r="G15" s="18" t="s">
        <v>318</v>
      </c>
      <c r="H15" s="38" t="s">
        <v>319</v>
      </c>
    </row>
    <row r="16" customFormat="false" ht="30" hidden="false" customHeight="true" outlineLevel="0" collapsed="false">
      <c r="A16" s="28" t="s">
        <v>320</v>
      </c>
      <c r="B16" s="30" t="s">
        <v>321</v>
      </c>
      <c r="C16" s="37" t="s">
        <v>322</v>
      </c>
      <c r="D16" s="39" t="s">
        <v>323</v>
      </c>
      <c r="E16" s="31" t="s">
        <v>324</v>
      </c>
      <c r="F16" s="32" t="s">
        <v>325</v>
      </c>
      <c r="G16" s="33" t="s">
        <v>326</v>
      </c>
      <c r="H16" s="34" t="s">
        <v>327</v>
      </c>
    </row>
    <row r="17" customFormat="false" ht="21.75" hidden="false" customHeight="true" outlineLevel="0" collapsed="false">
      <c r="A17" s="41" t="s">
        <v>328</v>
      </c>
      <c r="B17" s="41"/>
      <c r="C17" s="41"/>
      <c r="D17" s="41"/>
      <c r="E17" s="41"/>
      <c r="F17" s="41"/>
      <c r="G17" s="41"/>
      <c r="H17" s="41"/>
      <c r="I17" s="41"/>
    </row>
    <row r="18" customFormat="false" ht="15.75" hidden="false" customHeight="true" outlineLevel="0" collapsed="false">
      <c r="A18" s="27" t="s">
        <v>329</v>
      </c>
      <c r="B18" s="27"/>
      <c r="C18" s="27"/>
      <c r="D18" s="27"/>
      <c r="E18" s="27"/>
      <c r="F18" s="27"/>
      <c r="G18" s="27"/>
      <c r="H18" s="27"/>
      <c r="I18" s="27"/>
    </row>
    <row r="19" customFormat="false" ht="30" hidden="false" customHeight="true" outlineLevel="0" collapsed="false">
      <c r="A19" s="35" t="s">
        <v>330</v>
      </c>
      <c r="B19" s="36" t="s">
        <v>331</v>
      </c>
      <c r="C19" s="37" t="s">
        <v>332</v>
      </c>
      <c r="D19" s="40" t="s">
        <v>88</v>
      </c>
      <c r="E19" s="31" t="s">
        <v>333</v>
      </c>
      <c r="F19" s="32" t="s">
        <v>334</v>
      </c>
      <c r="G19" s="18" t="s">
        <v>335</v>
      </c>
      <c r="H19" s="38" t="s">
        <v>336</v>
      </c>
    </row>
    <row r="20" customFormat="false" ht="30" hidden="false" customHeight="true" outlineLevel="0" collapsed="false">
      <c r="A20" s="28" t="s">
        <v>337</v>
      </c>
      <c r="B20" s="37" t="s">
        <v>338</v>
      </c>
      <c r="C20" s="40" t="s">
        <v>87</v>
      </c>
      <c r="D20" s="39" t="s">
        <v>339</v>
      </c>
      <c r="E20" s="31" t="s">
        <v>340</v>
      </c>
      <c r="F20" s="32" t="s">
        <v>341</v>
      </c>
      <c r="G20" s="33" t="s">
        <v>342</v>
      </c>
      <c r="H20" s="34" t="s">
        <v>343</v>
      </c>
    </row>
    <row r="21" customFormat="false" ht="30" hidden="false" customHeight="true" outlineLevel="0" collapsed="false">
      <c r="A21" s="35" t="s">
        <v>344</v>
      </c>
      <c r="B21" s="37" t="s">
        <v>345</v>
      </c>
      <c r="C21" s="40" t="s">
        <v>346</v>
      </c>
      <c r="D21" s="39" t="s">
        <v>347</v>
      </c>
      <c r="E21" s="31" t="s">
        <v>348</v>
      </c>
      <c r="F21" s="32" t="s">
        <v>349</v>
      </c>
      <c r="G21" s="18" t="s">
        <v>350</v>
      </c>
      <c r="H21" s="38" t="s">
        <v>351</v>
      </c>
    </row>
    <row r="22" customFormat="false" ht="30" hidden="false" customHeight="true" outlineLevel="0" collapsed="false">
      <c r="A22" s="28" t="s">
        <v>352</v>
      </c>
      <c r="B22" s="37" t="s">
        <v>353</v>
      </c>
      <c r="C22" s="40" t="s">
        <v>354</v>
      </c>
      <c r="D22" s="39" t="s">
        <v>355</v>
      </c>
      <c r="E22" s="31" t="s">
        <v>356</v>
      </c>
      <c r="F22" s="32" t="s">
        <v>357</v>
      </c>
      <c r="G22" s="33" t="s">
        <v>358</v>
      </c>
      <c r="H22" s="34" t="s">
        <v>359</v>
      </c>
    </row>
    <row r="23" customFormat="false" ht="21.75" hidden="false" customHeight="true" outlineLevel="0" collapsed="false">
      <c r="A23" s="41" t="s">
        <v>360</v>
      </c>
      <c r="B23" s="41"/>
      <c r="C23" s="41"/>
      <c r="D23" s="41"/>
      <c r="E23" s="41"/>
      <c r="F23" s="41"/>
      <c r="G23" s="41"/>
      <c r="H23" s="41"/>
      <c r="I23" s="41"/>
    </row>
    <row r="24" customFormat="false" ht="15.75" hidden="false" customHeight="true" outlineLevel="0" collapsed="false">
      <c r="A24" s="27" t="s">
        <v>361</v>
      </c>
      <c r="B24" s="27"/>
      <c r="C24" s="27"/>
      <c r="D24" s="27"/>
      <c r="E24" s="27"/>
      <c r="F24" s="27"/>
      <c r="G24" s="27"/>
      <c r="H24" s="27"/>
      <c r="I24" s="27"/>
    </row>
    <row r="25" customFormat="false" ht="30" hidden="false" customHeight="true" outlineLevel="0" collapsed="false">
      <c r="A25" s="35" t="s">
        <v>362</v>
      </c>
      <c r="B25" s="36" t="s">
        <v>363</v>
      </c>
      <c r="C25" s="36" t="s">
        <v>364</v>
      </c>
      <c r="D25" s="36" t="s">
        <v>365</v>
      </c>
      <c r="E25" s="31" t="s">
        <v>366</v>
      </c>
      <c r="F25" s="32" t="s">
        <v>367</v>
      </c>
      <c r="G25" s="18" t="s">
        <v>368</v>
      </c>
      <c r="H25" s="38" t="s">
        <v>369</v>
      </c>
    </row>
    <row r="26" customFormat="false" ht="30" hidden="false" customHeight="true" outlineLevel="0" collapsed="false">
      <c r="A26" s="28" t="s">
        <v>370</v>
      </c>
      <c r="B26" s="29" t="s">
        <v>371</v>
      </c>
      <c r="C26" s="30" t="s">
        <v>372</v>
      </c>
      <c r="D26" s="29" t="s">
        <v>373</v>
      </c>
      <c r="E26" s="31" t="s">
        <v>374</v>
      </c>
      <c r="F26" s="32" t="s">
        <v>375</v>
      </c>
      <c r="G26" s="33" t="s">
        <v>376</v>
      </c>
      <c r="H26" s="34" t="s">
        <v>377</v>
      </c>
    </row>
    <row r="27" customFormat="false" ht="30" hidden="false" customHeight="true" outlineLevel="0" collapsed="false">
      <c r="A27" s="35" t="s">
        <v>378</v>
      </c>
      <c r="B27" s="36" t="s">
        <v>379</v>
      </c>
      <c r="C27" s="36" t="s">
        <v>380</v>
      </c>
      <c r="D27" s="36" t="s">
        <v>381</v>
      </c>
      <c r="E27" s="31" t="s">
        <v>382</v>
      </c>
      <c r="F27" s="32" t="s">
        <v>383</v>
      </c>
      <c r="G27" s="18" t="s">
        <v>384</v>
      </c>
      <c r="H27" s="38" t="s">
        <v>385</v>
      </c>
    </row>
  </sheetData>
  <mergeCells count="11">
    <mergeCell ref="A1:I1"/>
    <mergeCell ref="A2:I2"/>
    <mergeCell ref="A3:I3"/>
    <mergeCell ref="A6:I6"/>
    <mergeCell ref="A7:I7"/>
    <mergeCell ref="A11:I11"/>
    <mergeCell ref="A12:I12"/>
    <mergeCell ref="A17:I17"/>
    <mergeCell ref="A18:I18"/>
    <mergeCell ref="A23:I23"/>
    <mergeCell ref="A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0"/>
    <col collapsed="false" customWidth="true" hidden="false" outlineLevel="0" max="5" min="5" style="0" width="14"/>
    <col collapsed="false" customWidth="true" hidden="false" outlineLevel="0" max="6" min="6" style="0" width="26"/>
    <col collapsed="false" customWidth="true" hidden="false" outlineLevel="0" max="7" min="7" style="0" width="40"/>
    <col collapsed="false" customWidth="true" hidden="false" outlineLevel="0" max="8" min="8" style="0" width="28"/>
  </cols>
  <sheetData>
    <row r="1" customFormat="false" ht="43.5" hidden="false" customHeight="true" outlineLevel="0" collapsed="false">
      <c r="A1" s="1" t="s">
        <v>386</v>
      </c>
      <c r="B1" s="1"/>
      <c r="C1" s="1"/>
      <c r="D1" s="1"/>
      <c r="E1" s="1"/>
      <c r="F1" s="1"/>
      <c r="G1" s="1"/>
      <c r="H1" s="1"/>
      <c r="I1" s="1"/>
    </row>
    <row r="2" customFormat="false" ht="19.5" hidden="false" customHeight="true" outlineLevel="0" collapsed="false">
      <c r="A2" s="2" t="s">
        <v>387</v>
      </c>
      <c r="B2" s="2"/>
      <c r="C2" s="2"/>
      <c r="D2" s="2"/>
      <c r="E2" s="2"/>
      <c r="F2" s="2"/>
      <c r="G2" s="2"/>
      <c r="H2" s="2"/>
      <c r="I2" s="2"/>
    </row>
    <row r="3" customFormat="false" ht="15.75" hidden="false" customHeight="true" outlineLevel="0" collapsed="false">
      <c r="A3" s="3" t="s">
        <v>388</v>
      </c>
      <c r="B3" s="3"/>
      <c r="C3" s="3"/>
      <c r="D3" s="3"/>
      <c r="E3" s="3"/>
      <c r="F3" s="3"/>
      <c r="G3" s="3"/>
      <c r="H3" s="3"/>
      <c r="I3" s="3"/>
    </row>
    <row r="4" customFormat="false" ht="9.75" hidden="false" customHeight="true" outlineLevel="0" collapsed="false"/>
    <row r="5" customFormat="false" ht="36" hidden="false" customHeight="true" outlineLevel="0" collapsed="false">
      <c r="A5" s="19" t="s">
        <v>60</v>
      </c>
      <c r="B5" s="20" t="s">
        <v>61</v>
      </c>
      <c r="C5" s="21" t="s">
        <v>62</v>
      </c>
      <c r="D5" s="22" t="s">
        <v>63</v>
      </c>
      <c r="E5" s="23" t="s">
        <v>64</v>
      </c>
      <c r="F5" s="24" t="s">
        <v>65</v>
      </c>
      <c r="G5" s="25" t="s">
        <v>66</v>
      </c>
      <c r="H5" s="19" t="s">
        <v>67</v>
      </c>
    </row>
    <row r="6" customFormat="false" ht="21.75" hidden="false" customHeight="true" outlineLevel="0" collapsed="false">
      <c r="A6" s="26" t="s">
        <v>389</v>
      </c>
      <c r="B6" s="26"/>
      <c r="C6" s="26"/>
      <c r="D6" s="26"/>
      <c r="E6" s="26"/>
      <c r="F6" s="26"/>
      <c r="G6" s="26"/>
      <c r="H6" s="26"/>
      <c r="I6" s="26"/>
    </row>
    <row r="7" customFormat="false" ht="15.75" hidden="false" customHeight="true" outlineLevel="0" collapsed="false">
      <c r="A7" s="27" t="s">
        <v>390</v>
      </c>
      <c r="B7" s="27"/>
      <c r="C7" s="27"/>
      <c r="D7" s="27"/>
      <c r="E7" s="27"/>
      <c r="F7" s="27"/>
      <c r="G7" s="27"/>
      <c r="H7" s="27"/>
      <c r="I7" s="27"/>
    </row>
    <row r="8" customFormat="false" ht="30" hidden="false" customHeight="true" outlineLevel="0" collapsed="false">
      <c r="A8" s="28" t="s">
        <v>391</v>
      </c>
      <c r="B8" s="30" t="s">
        <v>392</v>
      </c>
      <c r="C8" s="30" t="s">
        <v>393</v>
      </c>
      <c r="D8" s="30" t="s">
        <v>394</v>
      </c>
      <c r="E8" s="31" t="s">
        <v>395</v>
      </c>
      <c r="F8" s="32" t="s">
        <v>396</v>
      </c>
      <c r="G8" s="33" t="s">
        <v>397</v>
      </c>
      <c r="H8" s="34" t="s">
        <v>398</v>
      </c>
    </row>
    <row r="9" customFormat="false" ht="30" hidden="false" customHeight="true" outlineLevel="0" collapsed="false">
      <c r="A9" s="35" t="s">
        <v>399</v>
      </c>
      <c r="B9" s="37" t="s">
        <v>400</v>
      </c>
      <c r="C9" s="40" t="s">
        <v>401</v>
      </c>
      <c r="D9" s="39" t="s">
        <v>402</v>
      </c>
      <c r="E9" s="31" t="s">
        <v>403</v>
      </c>
      <c r="F9" s="32" t="s">
        <v>404</v>
      </c>
      <c r="G9" s="18" t="s">
        <v>405</v>
      </c>
      <c r="H9" s="38" t="s">
        <v>406</v>
      </c>
    </row>
    <row r="10" customFormat="false" ht="30" hidden="false" customHeight="true" outlineLevel="0" collapsed="false">
      <c r="A10" s="28" t="s">
        <v>407</v>
      </c>
      <c r="B10" s="30" t="s">
        <v>88</v>
      </c>
      <c r="C10" s="37" t="s">
        <v>408</v>
      </c>
      <c r="D10" s="39" t="s">
        <v>409</v>
      </c>
      <c r="E10" s="31" t="s">
        <v>410</v>
      </c>
      <c r="F10" s="32" t="s">
        <v>411</v>
      </c>
      <c r="G10" s="33" t="s">
        <v>412</v>
      </c>
      <c r="H10" s="34" t="s">
        <v>413</v>
      </c>
    </row>
    <row r="11" customFormat="false" ht="30" hidden="false" customHeight="true" outlineLevel="0" collapsed="false">
      <c r="A11" s="35" t="s">
        <v>414</v>
      </c>
      <c r="B11" s="36" t="s">
        <v>331</v>
      </c>
      <c r="C11" s="37" t="s">
        <v>415</v>
      </c>
      <c r="D11" s="36" t="s">
        <v>416</v>
      </c>
      <c r="E11" s="31" t="s">
        <v>417</v>
      </c>
      <c r="F11" s="32" t="s">
        <v>418</v>
      </c>
      <c r="G11" s="18" t="s">
        <v>419</v>
      </c>
      <c r="H11" s="38" t="s">
        <v>420</v>
      </c>
    </row>
    <row r="12" customFormat="false" ht="21.75" hidden="false" customHeight="true" outlineLevel="0" collapsed="false">
      <c r="A12" s="26" t="s">
        <v>421</v>
      </c>
      <c r="B12" s="26"/>
      <c r="C12" s="26"/>
      <c r="D12" s="26"/>
      <c r="E12" s="26"/>
      <c r="F12" s="26"/>
      <c r="G12" s="26"/>
      <c r="H12" s="26"/>
      <c r="I12" s="26"/>
    </row>
    <row r="13" customFormat="false" ht="15.75" hidden="false" customHeight="true" outlineLevel="0" collapsed="false">
      <c r="A13" s="27" t="s">
        <v>422</v>
      </c>
      <c r="B13" s="27"/>
      <c r="C13" s="27"/>
      <c r="D13" s="27"/>
      <c r="E13" s="27"/>
      <c r="F13" s="27"/>
      <c r="G13" s="27"/>
      <c r="H13" s="27"/>
      <c r="I13" s="27"/>
    </row>
    <row r="14" customFormat="false" ht="30" hidden="false" customHeight="true" outlineLevel="0" collapsed="false">
      <c r="A14" s="28" t="s">
        <v>423</v>
      </c>
      <c r="B14" s="30" t="s">
        <v>424</v>
      </c>
      <c r="C14" s="30" t="s">
        <v>425</v>
      </c>
      <c r="D14" s="30" t="s">
        <v>426</v>
      </c>
      <c r="E14" s="31" t="s">
        <v>427</v>
      </c>
      <c r="F14" s="32" t="s">
        <v>428</v>
      </c>
      <c r="G14" s="33" t="s">
        <v>429</v>
      </c>
      <c r="H14" s="34" t="s">
        <v>430</v>
      </c>
    </row>
    <row r="15" customFormat="false" ht="30" hidden="false" customHeight="true" outlineLevel="0" collapsed="false">
      <c r="A15" s="35" t="s">
        <v>431</v>
      </c>
      <c r="B15" s="37" t="s">
        <v>432</v>
      </c>
      <c r="C15" s="36" t="s">
        <v>433</v>
      </c>
      <c r="D15" s="36" t="s">
        <v>434</v>
      </c>
      <c r="E15" s="31" t="s">
        <v>435</v>
      </c>
      <c r="F15" s="32" t="s">
        <v>436</v>
      </c>
      <c r="G15" s="18" t="s">
        <v>437</v>
      </c>
      <c r="H15" s="38" t="s">
        <v>438</v>
      </c>
    </row>
    <row r="16" customFormat="false" ht="30" hidden="false" customHeight="true" outlineLevel="0" collapsed="false">
      <c r="A16" s="28" t="s">
        <v>439</v>
      </c>
      <c r="B16" s="37" t="s">
        <v>440</v>
      </c>
      <c r="C16" s="30" t="s">
        <v>441</v>
      </c>
      <c r="D16" s="30" t="s">
        <v>140</v>
      </c>
      <c r="E16" s="31" t="s">
        <v>442</v>
      </c>
      <c r="F16" s="32" t="s">
        <v>443</v>
      </c>
      <c r="G16" s="33" t="s">
        <v>444</v>
      </c>
      <c r="H16" s="34" t="s">
        <v>445</v>
      </c>
    </row>
    <row r="17" customFormat="false" ht="21.75" hidden="false" customHeight="true" outlineLevel="0" collapsed="false">
      <c r="A17" s="26" t="s">
        <v>446</v>
      </c>
      <c r="B17" s="26"/>
      <c r="C17" s="26"/>
      <c r="D17" s="26"/>
      <c r="E17" s="26"/>
      <c r="F17" s="26"/>
      <c r="G17" s="26"/>
      <c r="H17" s="26"/>
      <c r="I17" s="26"/>
    </row>
    <row r="18" customFormat="false" ht="30" hidden="false" customHeight="true" outlineLevel="0" collapsed="false">
      <c r="A18" s="28" t="s">
        <v>447</v>
      </c>
      <c r="B18" s="30" t="s">
        <v>88</v>
      </c>
      <c r="C18" s="30" t="s">
        <v>415</v>
      </c>
      <c r="D18" s="30" t="s">
        <v>448</v>
      </c>
      <c r="E18" s="31" t="s">
        <v>449</v>
      </c>
      <c r="F18" s="32" t="s">
        <v>450</v>
      </c>
      <c r="G18" s="33" t="s">
        <v>451</v>
      </c>
      <c r="H18" s="34" t="s">
        <v>452</v>
      </c>
    </row>
    <row r="19" customFormat="false" ht="30" hidden="false" customHeight="true" outlineLevel="0" collapsed="false">
      <c r="A19" s="35" t="s">
        <v>453</v>
      </c>
      <c r="B19" s="37" t="s">
        <v>454</v>
      </c>
      <c r="C19" s="36" t="s">
        <v>455</v>
      </c>
      <c r="D19" s="36" t="s">
        <v>456</v>
      </c>
      <c r="E19" s="31" t="s">
        <v>457</v>
      </c>
      <c r="F19" s="32" t="s">
        <v>458</v>
      </c>
      <c r="G19" s="18" t="s">
        <v>459</v>
      </c>
      <c r="H19" s="38" t="s">
        <v>460</v>
      </c>
    </row>
    <row r="20" customFormat="false" ht="30" hidden="false" customHeight="true" outlineLevel="0" collapsed="false">
      <c r="A20" s="28" t="s">
        <v>461</v>
      </c>
      <c r="B20" s="29" t="s">
        <v>462</v>
      </c>
      <c r="C20" s="30" t="s">
        <v>463</v>
      </c>
      <c r="D20" s="39" t="s">
        <v>464</v>
      </c>
      <c r="E20" s="31" t="s">
        <v>465</v>
      </c>
      <c r="F20" s="32" t="s">
        <v>466</v>
      </c>
      <c r="G20" s="33" t="s">
        <v>467</v>
      </c>
      <c r="H20" s="34" t="s">
        <v>468</v>
      </c>
    </row>
    <row r="21" customFormat="false" ht="30" hidden="false" customHeight="true" outlineLevel="0" collapsed="false">
      <c r="A21" s="35" t="s">
        <v>469</v>
      </c>
      <c r="B21" s="36" t="s">
        <v>97</v>
      </c>
      <c r="C21" s="36" t="s">
        <v>470</v>
      </c>
      <c r="D21" s="39" t="s">
        <v>471</v>
      </c>
      <c r="E21" s="31" t="s">
        <v>472</v>
      </c>
      <c r="F21" s="32" t="s">
        <v>473</v>
      </c>
      <c r="G21" s="18" t="s">
        <v>474</v>
      </c>
      <c r="H21" s="38" t="s">
        <v>475</v>
      </c>
    </row>
    <row r="22" customFormat="false" ht="21.75" hidden="false" customHeight="true" outlineLevel="0" collapsed="false">
      <c r="A22" s="26" t="s">
        <v>476</v>
      </c>
      <c r="B22" s="26"/>
      <c r="C22" s="26"/>
      <c r="D22" s="26"/>
      <c r="E22" s="26"/>
      <c r="F22" s="26"/>
      <c r="G22" s="26"/>
      <c r="H22" s="26"/>
      <c r="I22" s="26"/>
    </row>
    <row r="23" customFormat="false" ht="15.75" hidden="false" customHeight="true" outlineLevel="0" collapsed="false">
      <c r="A23" s="27" t="s">
        <v>477</v>
      </c>
      <c r="B23" s="27"/>
      <c r="C23" s="27"/>
      <c r="D23" s="27"/>
      <c r="E23" s="27"/>
      <c r="F23" s="27"/>
      <c r="G23" s="27"/>
      <c r="H23" s="27"/>
      <c r="I23" s="27"/>
    </row>
    <row r="24" customFormat="false" ht="30" hidden="false" customHeight="true" outlineLevel="0" collapsed="false">
      <c r="A24" s="28" t="s">
        <v>478</v>
      </c>
      <c r="B24" s="39" t="s">
        <v>479</v>
      </c>
      <c r="C24" s="40" t="s">
        <v>480</v>
      </c>
      <c r="D24" s="37" t="s">
        <v>481</v>
      </c>
      <c r="E24" s="31" t="s">
        <v>482</v>
      </c>
      <c r="F24" s="32" t="s">
        <v>483</v>
      </c>
      <c r="G24" s="33" t="s">
        <v>484</v>
      </c>
      <c r="H24" s="34" t="s">
        <v>485</v>
      </c>
    </row>
    <row r="25" customFormat="false" ht="30" hidden="false" customHeight="true" outlineLevel="0" collapsed="false">
      <c r="A25" s="35" t="s">
        <v>486</v>
      </c>
      <c r="B25" s="37" t="s">
        <v>487</v>
      </c>
      <c r="C25" s="40" t="s">
        <v>488</v>
      </c>
      <c r="D25" s="39" t="s">
        <v>489</v>
      </c>
      <c r="E25" s="31" t="s">
        <v>490</v>
      </c>
      <c r="F25" s="32" t="s">
        <v>491</v>
      </c>
      <c r="G25" s="18" t="s">
        <v>492</v>
      </c>
      <c r="H25" s="38" t="s">
        <v>493</v>
      </c>
    </row>
    <row r="26" customFormat="false" ht="30" hidden="false" customHeight="true" outlineLevel="0" collapsed="false">
      <c r="A26" s="28" t="s">
        <v>494</v>
      </c>
      <c r="B26" s="29" t="s">
        <v>495</v>
      </c>
      <c r="C26" s="30" t="s">
        <v>496</v>
      </c>
      <c r="D26" s="30" t="s">
        <v>497</v>
      </c>
      <c r="E26" s="31" t="s">
        <v>498</v>
      </c>
      <c r="F26" s="32" t="s">
        <v>499</v>
      </c>
      <c r="G26" s="33" t="s">
        <v>500</v>
      </c>
      <c r="H26" s="34" t="s">
        <v>501</v>
      </c>
    </row>
  </sheetData>
  <mergeCells count="10">
    <mergeCell ref="A1:I1"/>
    <mergeCell ref="A2:I2"/>
    <mergeCell ref="A3:I3"/>
    <mergeCell ref="A6:I6"/>
    <mergeCell ref="A7:I7"/>
    <mergeCell ref="A12:I12"/>
    <mergeCell ref="A13:I13"/>
    <mergeCell ref="A17:I17"/>
    <mergeCell ref="A22:I22"/>
    <mergeCell ref="A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0"/>
    <col collapsed="false" customWidth="true" hidden="false" outlineLevel="0" max="5" min="5" style="0" width="14"/>
    <col collapsed="false" customWidth="true" hidden="false" outlineLevel="0" max="6" min="6" style="0" width="26"/>
    <col collapsed="false" customWidth="true" hidden="false" outlineLevel="0" max="7" min="7" style="0" width="40"/>
    <col collapsed="false" customWidth="true" hidden="false" outlineLevel="0" max="8" min="8" style="0" width="28"/>
  </cols>
  <sheetData>
    <row r="1" customFormat="false" ht="43.5" hidden="false" customHeight="true" outlineLevel="0" collapsed="false">
      <c r="A1" s="1" t="s">
        <v>502</v>
      </c>
      <c r="B1" s="1"/>
      <c r="C1" s="1"/>
      <c r="D1" s="1"/>
      <c r="E1" s="1"/>
      <c r="F1" s="1"/>
      <c r="G1" s="1"/>
      <c r="H1" s="1"/>
      <c r="I1" s="1"/>
    </row>
    <row r="2" customFormat="false" ht="19.5" hidden="false" customHeight="true" outlineLevel="0" collapsed="false">
      <c r="A2" s="2" t="s">
        <v>503</v>
      </c>
      <c r="B2" s="2"/>
      <c r="C2" s="2"/>
      <c r="D2" s="2"/>
      <c r="E2" s="2"/>
      <c r="F2" s="2"/>
      <c r="G2" s="2"/>
      <c r="H2" s="2"/>
      <c r="I2" s="2"/>
    </row>
    <row r="3" customFormat="false" ht="15.75" hidden="false" customHeight="true" outlineLevel="0" collapsed="false">
      <c r="A3" s="3" t="s">
        <v>504</v>
      </c>
      <c r="B3" s="3"/>
      <c r="C3" s="3"/>
      <c r="D3" s="3"/>
      <c r="E3" s="3"/>
      <c r="F3" s="3"/>
      <c r="G3" s="3"/>
      <c r="H3" s="3"/>
      <c r="I3" s="3"/>
    </row>
    <row r="4" customFormat="false" ht="9.75" hidden="false" customHeight="true" outlineLevel="0" collapsed="false"/>
    <row r="5" customFormat="false" ht="36" hidden="false" customHeight="true" outlineLevel="0" collapsed="false">
      <c r="A5" s="19" t="s">
        <v>60</v>
      </c>
      <c r="B5" s="20" t="s">
        <v>61</v>
      </c>
      <c r="C5" s="21" t="s">
        <v>62</v>
      </c>
      <c r="D5" s="22" t="s">
        <v>63</v>
      </c>
      <c r="E5" s="23" t="s">
        <v>64</v>
      </c>
      <c r="F5" s="24" t="s">
        <v>65</v>
      </c>
      <c r="G5" s="25" t="s">
        <v>66</v>
      </c>
      <c r="H5" s="19" t="s">
        <v>67</v>
      </c>
    </row>
    <row r="6" customFormat="false" ht="21.75" hidden="false" customHeight="true" outlineLevel="0" collapsed="false">
      <c r="A6" s="26" t="s">
        <v>505</v>
      </c>
      <c r="B6" s="26"/>
      <c r="C6" s="26"/>
      <c r="D6" s="26"/>
      <c r="E6" s="26"/>
      <c r="F6" s="26"/>
      <c r="G6" s="26"/>
      <c r="H6" s="26"/>
      <c r="I6" s="26"/>
    </row>
    <row r="7" customFormat="false" ht="15.75" hidden="false" customHeight="true" outlineLevel="0" collapsed="false">
      <c r="A7" s="27" t="s">
        <v>506</v>
      </c>
      <c r="B7" s="27"/>
      <c r="C7" s="27"/>
      <c r="D7" s="27"/>
      <c r="E7" s="27"/>
      <c r="F7" s="27"/>
      <c r="G7" s="27"/>
      <c r="H7" s="27"/>
      <c r="I7" s="27"/>
    </row>
    <row r="8" customFormat="false" ht="27.75" hidden="false" customHeight="true" outlineLevel="0" collapsed="false">
      <c r="A8" s="28" t="s">
        <v>507</v>
      </c>
      <c r="B8" s="37" t="s">
        <v>508</v>
      </c>
      <c r="C8" s="40" t="s">
        <v>509</v>
      </c>
      <c r="D8" s="39" t="s">
        <v>510</v>
      </c>
      <c r="E8" s="31" t="s">
        <v>511</v>
      </c>
      <c r="F8" s="32" t="s">
        <v>512</v>
      </c>
      <c r="G8" s="33" t="s">
        <v>513</v>
      </c>
      <c r="H8" s="34" t="s">
        <v>514</v>
      </c>
    </row>
    <row r="9" customFormat="false" ht="27.75" hidden="false" customHeight="true" outlineLevel="0" collapsed="false">
      <c r="A9" s="35" t="s">
        <v>515</v>
      </c>
      <c r="B9" s="37" t="s">
        <v>516</v>
      </c>
      <c r="C9" s="40" t="s">
        <v>517</v>
      </c>
      <c r="D9" s="39" t="s">
        <v>518</v>
      </c>
      <c r="E9" s="31" t="s">
        <v>519</v>
      </c>
      <c r="F9" s="32" t="s">
        <v>520</v>
      </c>
      <c r="G9" s="18" t="s">
        <v>521</v>
      </c>
      <c r="H9" s="38" t="s">
        <v>522</v>
      </c>
    </row>
    <row r="10" customFormat="false" ht="27.75" hidden="false" customHeight="true" outlineLevel="0" collapsed="false">
      <c r="A10" s="28" t="s">
        <v>523</v>
      </c>
      <c r="B10" s="37" t="s">
        <v>524</v>
      </c>
      <c r="C10" s="39" t="s">
        <v>525</v>
      </c>
      <c r="D10" s="39" t="s">
        <v>526</v>
      </c>
      <c r="E10" s="31" t="s">
        <v>527</v>
      </c>
      <c r="F10" s="32" t="s">
        <v>528</v>
      </c>
      <c r="G10" s="33" t="s">
        <v>529</v>
      </c>
      <c r="H10" s="34" t="s">
        <v>530</v>
      </c>
    </row>
    <row r="11" customFormat="false" ht="21.75" hidden="false" customHeight="true" outlineLevel="0" collapsed="false">
      <c r="A11" s="26" t="s">
        <v>531</v>
      </c>
      <c r="B11" s="26"/>
      <c r="C11" s="26"/>
      <c r="D11" s="26"/>
      <c r="E11" s="26"/>
      <c r="F11" s="26"/>
      <c r="G11" s="26"/>
      <c r="H11" s="26"/>
      <c r="I11" s="26"/>
    </row>
    <row r="12" customFormat="false" ht="15.75" hidden="false" customHeight="true" outlineLevel="0" collapsed="false">
      <c r="A12" s="27" t="s">
        <v>532</v>
      </c>
      <c r="B12" s="27"/>
      <c r="C12" s="27"/>
      <c r="D12" s="27"/>
      <c r="E12" s="27"/>
      <c r="F12" s="27"/>
      <c r="G12" s="27"/>
      <c r="H12" s="27"/>
      <c r="I12" s="27"/>
    </row>
    <row r="13" customFormat="false" ht="27.75" hidden="false" customHeight="true" outlineLevel="0" collapsed="false">
      <c r="A13" s="35" t="s">
        <v>533</v>
      </c>
      <c r="B13" s="29" t="s">
        <v>534</v>
      </c>
      <c r="C13" s="36" t="s">
        <v>535</v>
      </c>
      <c r="D13" s="39" t="s">
        <v>536</v>
      </c>
      <c r="E13" s="31" t="s">
        <v>537</v>
      </c>
      <c r="F13" s="32" t="s">
        <v>538</v>
      </c>
      <c r="G13" s="18" t="s">
        <v>539</v>
      </c>
      <c r="H13" s="38" t="s">
        <v>540</v>
      </c>
    </row>
    <row r="14" customFormat="false" ht="27.75" hidden="false" customHeight="true" outlineLevel="0" collapsed="false">
      <c r="A14" s="28" t="s">
        <v>541</v>
      </c>
      <c r="B14" s="29" t="s">
        <v>542</v>
      </c>
      <c r="C14" s="30" t="s">
        <v>543</v>
      </c>
      <c r="D14" s="39" t="s">
        <v>544</v>
      </c>
      <c r="E14" s="31" t="s">
        <v>545</v>
      </c>
      <c r="F14" s="32" t="s">
        <v>546</v>
      </c>
      <c r="G14" s="33" t="s">
        <v>547</v>
      </c>
      <c r="H14" s="34" t="s">
        <v>548</v>
      </c>
    </row>
    <row r="15" customFormat="false" ht="21.75" hidden="false" customHeight="true" outlineLevel="0" collapsed="false">
      <c r="A15" s="26" t="s">
        <v>549</v>
      </c>
      <c r="B15" s="26"/>
      <c r="C15" s="26"/>
      <c r="D15" s="26"/>
      <c r="E15" s="26"/>
      <c r="F15" s="26"/>
      <c r="G15" s="26"/>
      <c r="H15" s="26"/>
      <c r="I15" s="26"/>
    </row>
    <row r="16" customFormat="false" ht="15.75" hidden="false" customHeight="true" outlineLevel="0" collapsed="false">
      <c r="A16" s="27" t="s">
        <v>550</v>
      </c>
      <c r="B16" s="27"/>
      <c r="C16" s="27"/>
      <c r="D16" s="27"/>
      <c r="E16" s="27"/>
      <c r="F16" s="27"/>
      <c r="G16" s="27"/>
      <c r="H16" s="27"/>
      <c r="I16" s="27"/>
    </row>
    <row r="17" customFormat="false" ht="27.75" hidden="false" customHeight="true" outlineLevel="0" collapsed="false">
      <c r="A17" s="35" t="s">
        <v>551</v>
      </c>
      <c r="B17" s="40" t="s">
        <v>552</v>
      </c>
      <c r="C17" s="40" t="s">
        <v>553</v>
      </c>
      <c r="D17" s="39" t="s">
        <v>554</v>
      </c>
      <c r="E17" s="31" t="s">
        <v>555</v>
      </c>
      <c r="F17" s="32" t="s">
        <v>556</v>
      </c>
      <c r="G17" s="18" t="s">
        <v>557</v>
      </c>
      <c r="H17" s="38" t="s">
        <v>558</v>
      </c>
    </row>
    <row r="18" customFormat="false" ht="27.75" hidden="false" customHeight="true" outlineLevel="0" collapsed="false">
      <c r="A18" s="28" t="s">
        <v>559</v>
      </c>
      <c r="B18" s="37" t="s">
        <v>560</v>
      </c>
      <c r="C18" s="40" t="s">
        <v>561</v>
      </c>
      <c r="D18" s="39" t="s">
        <v>562</v>
      </c>
      <c r="E18" s="31" t="s">
        <v>563</v>
      </c>
      <c r="F18" s="32" t="s">
        <v>564</v>
      </c>
      <c r="G18" s="33" t="s">
        <v>565</v>
      </c>
      <c r="H18" s="34" t="s">
        <v>566</v>
      </c>
    </row>
    <row r="19" customFormat="false" ht="21.75" hidden="false" customHeight="true" outlineLevel="0" collapsed="false">
      <c r="A19" s="26" t="s">
        <v>567</v>
      </c>
      <c r="B19" s="26"/>
      <c r="C19" s="26"/>
      <c r="D19" s="26"/>
      <c r="E19" s="26"/>
      <c r="F19" s="26"/>
      <c r="G19" s="26"/>
      <c r="H19" s="26"/>
      <c r="I19" s="26"/>
    </row>
    <row r="20" customFormat="false" ht="15.75" hidden="false" customHeight="true" outlineLevel="0" collapsed="false">
      <c r="A20" s="27" t="s">
        <v>568</v>
      </c>
      <c r="B20" s="27"/>
      <c r="C20" s="27"/>
      <c r="D20" s="27"/>
      <c r="E20" s="27"/>
      <c r="F20" s="27"/>
      <c r="G20" s="27"/>
      <c r="H20" s="27"/>
      <c r="I20" s="27"/>
    </row>
    <row r="21" customFormat="false" ht="27.75" hidden="false" customHeight="true" outlineLevel="0" collapsed="false">
      <c r="A21" s="35" t="s">
        <v>569</v>
      </c>
      <c r="B21" s="40" t="s">
        <v>570</v>
      </c>
      <c r="C21" s="39" t="s">
        <v>571</v>
      </c>
      <c r="D21" s="39" t="s">
        <v>572</v>
      </c>
      <c r="E21" s="31" t="s">
        <v>573</v>
      </c>
      <c r="F21" s="32" t="s">
        <v>574</v>
      </c>
      <c r="G21" s="18" t="s">
        <v>575</v>
      </c>
      <c r="H21" s="38" t="s">
        <v>576</v>
      </c>
    </row>
    <row r="22" customFormat="false" ht="27.75" hidden="false" customHeight="true" outlineLevel="0" collapsed="false">
      <c r="A22" s="28" t="s">
        <v>577</v>
      </c>
      <c r="B22" s="37" t="s">
        <v>578</v>
      </c>
      <c r="C22" s="39" t="s">
        <v>579</v>
      </c>
      <c r="D22" s="39" t="s">
        <v>534</v>
      </c>
      <c r="E22" s="31" t="s">
        <v>580</v>
      </c>
      <c r="F22" s="32" t="s">
        <v>581</v>
      </c>
      <c r="G22" s="33" t="s">
        <v>582</v>
      </c>
      <c r="H22" s="34" t="s">
        <v>583</v>
      </c>
    </row>
    <row r="23" customFormat="false" ht="21.75" hidden="false" customHeight="true" outlineLevel="0" collapsed="false">
      <c r="A23" s="26" t="s">
        <v>584</v>
      </c>
      <c r="B23" s="26"/>
      <c r="C23" s="26"/>
      <c r="D23" s="26"/>
      <c r="E23" s="26"/>
      <c r="F23" s="26"/>
      <c r="G23" s="26"/>
      <c r="H23" s="26"/>
      <c r="I23" s="26"/>
    </row>
    <row r="24" customFormat="false" ht="15.75" hidden="false" customHeight="true" outlineLevel="0" collapsed="false">
      <c r="A24" s="27" t="s">
        <v>585</v>
      </c>
      <c r="B24" s="27"/>
      <c r="C24" s="27"/>
      <c r="D24" s="27"/>
      <c r="E24" s="27"/>
      <c r="F24" s="27"/>
      <c r="G24" s="27"/>
      <c r="H24" s="27"/>
      <c r="I24" s="27"/>
    </row>
    <row r="25" customFormat="false" ht="27.75" hidden="false" customHeight="true" outlineLevel="0" collapsed="false">
      <c r="A25" s="35" t="s">
        <v>586</v>
      </c>
      <c r="B25" s="40" t="s">
        <v>587</v>
      </c>
      <c r="C25" s="39" t="s">
        <v>588</v>
      </c>
      <c r="D25" s="39" t="s">
        <v>589</v>
      </c>
      <c r="E25" s="31" t="s">
        <v>590</v>
      </c>
      <c r="F25" s="32" t="s">
        <v>591</v>
      </c>
      <c r="G25" s="18" t="s">
        <v>592</v>
      </c>
      <c r="H25" s="38" t="s">
        <v>593</v>
      </c>
    </row>
    <row r="26" customFormat="false" ht="27.75" hidden="false" customHeight="true" outlineLevel="0" collapsed="false">
      <c r="A26" s="28" t="s">
        <v>594</v>
      </c>
      <c r="B26" s="37" t="s">
        <v>595</v>
      </c>
      <c r="C26" s="39" t="s">
        <v>596</v>
      </c>
      <c r="D26" s="39" t="s">
        <v>597</v>
      </c>
      <c r="E26" s="31" t="s">
        <v>598</v>
      </c>
      <c r="F26" s="32" t="s">
        <v>599</v>
      </c>
      <c r="G26" s="33" t="s">
        <v>600</v>
      </c>
      <c r="H26" s="34" t="s">
        <v>601</v>
      </c>
    </row>
  </sheetData>
  <mergeCells count="13">
    <mergeCell ref="A1:I1"/>
    <mergeCell ref="A2:I2"/>
    <mergeCell ref="A3:I3"/>
    <mergeCell ref="A6:I6"/>
    <mergeCell ref="A7:I7"/>
    <mergeCell ref="A11:I11"/>
    <mergeCell ref="A12:I12"/>
    <mergeCell ref="A15:I15"/>
    <mergeCell ref="A16:I16"/>
    <mergeCell ref="A19:I19"/>
    <mergeCell ref="A20:I20"/>
    <mergeCell ref="A23:I23"/>
    <mergeCell ref="A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0"/>
    <col collapsed="false" customWidth="true" hidden="false" outlineLevel="0" max="5" min="5" style="0" width="14"/>
    <col collapsed="false" customWidth="true" hidden="false" outlineLevel="0" max="6" min="6" style="0" width="26"/>
    <col collapsed="false" customWidth="true" hidden="false" outlineLevel="0" max="7" min="7" style="0" width="40"/>
    <col collapsed="false" customWidth="true" hidden="false" outlineLevel="0" max="8" min="8" style="0" width="28"/>
  </cols>
  <sheetData>
    <row r="1" customFormat="false" ht="43.5" hidden="false" customHeight="true" outlineLevel="0" collapsed="false">
      <c r="A1" s="1" t="s">
        <v>602</v>
      </c>
      <c r="B1" s="1"/>
      <c r="C1" s="1"/>
      <c r="D1" s="1"/>
      <c r="E1" s="1"/>
      <c r="F1" s="1"/>
      <c r="G1" s="1"/>
      <c r="H1" s="1"/>
      <c r="I1" s="1"/>
    </row>
    <row r="2" customFormat="false" ht="19.5" hidden="false" customHeight="true" outlineLevel="0" collapsed="false">
      <c r="A2" s="2" t="s">
        <v>603</v>
      </c>
      <c r="B2" s="2"/>
      <c r="C2" s="2"/>
      <c r="D2" s="2"/>
      <c r="E2" s="2"/>
      <c r="F2" s="2"/>
      <c r="G2" s="2"/>
      <c r="H2" s="2"/>
      <c r="I2" s="2"/>
    </row>
    <row r="3" customFormat="false" ht="15.75" hidden="false" customHeight="true" outlineLevel="0" collapsed="false">
      <c r="A3" s="3" t="s">
        <v>604</v>
      </c>
      <c r="B3" s="3"/>
      <c r="C3" s="3"/>
      <c r="D3" s="3"/>
      <c r="E3" s="3"/>
      <c r="F3" s="3"/>
      <c r="G3" s="3"/>
      <c r="H3" s="3"/>
      <c r="I3" s="3"/>
    </row>
    <row r="4" customFormat="false" ht="9.75" hidden="false" customHeight="true" outlineLevel="0" collapsed="false"/>
    <row r="5" customFormat="false" ht="36" hidden="false" customHeight="true" outlineLevel="0" collapsed="false">
      <c r="A5" s="19" t="s">
        <v>60</v>
      </c>
      <c r="B5" s="20" t="s">
        <v>61</v>
      </c>
      <c r="C5" s="21" t="s">
        <v>62</v>
      </c>
      <c r="D5" s="22" t="s">
        <v>63</v>
      </c>
      <c r="E5" s="23" t="s">
        <v>64</v>
      </c>
      <c r="F5" s="24" t="s">
        <v>65</v>
      </c>
      <c r="G5" s="25" t="s">
        <v>66</v>
      </c>
      <c r="H5" s="19" t="s">
        <v>67</v>
      </c>
    </row>
    <row r="6" customFormat="false" ht="21.75" hidden="false" customHeight="true" outlineLevel="0" collapsed="false">
      <c r="A6" s="26" t="s">
        <v>605</v>
      </c>
      <c r="B6" s="26"/>
      <c r="C6" s="26"/>
      <c r="D6" s="26"/>
      <c r="E6" s="26"/>
      <c r="F6" s="26"/>
      <c r="G6" s="26"/>
      <c r="H6" s="26"/>
      <c r="I6" s="26"/>
    </row>
    <row r="7" customFormat="false" ht="30" hidden="false" customHeight="true" outlineLevel="0" collapsed="false">
      <c r="A7" s="35" t="s">
        <v>606</v>
      </c>
      <c r="B7" s="37" t="s">
        <v>607</v>
      </c>
      <c r="C7" s="40" t="s">
        <v>608</v>
      </c>
      <c r="D7" s="39" t="s">
        <v>609</v>
      </c>
      <c r="E7" s="31" t="s">
        <v>610</v>
      </c>
      <c r="F7" s="32" t="s">
        <v>611</v>
      </c>
      <c r="G7" s="18" t="s">
        <v>612</v>
      </c>
      <c r="H7" s="38" t="s">
        <v>613</v>
      </c>
    </row>
    <row r="8" customFormat="false" ht="30" hidden="false" customHeight="true" outlineLevel="0" collapsed="false">
      <c r="A8" s="28" t="s">
        <v>614</v>
      </c>
      <c r="B8" s="37" t="s">
        <v>615</v>
      </c>
      <c r="C8" s="40" t="s">
        <v>616</v>
      </c>
      <c r="D8" s="39" t="s">
        <v>617</v>
      </c>
      <c r="E8" s="31" t="s">
        <v>618</v>
      </c>
      <c r="F8" s="32" t="s">
        <v>619</v>
      </c>
      <c r="G8" s="33" t="s">
        <v>620</v>
      </c>
      <c r="H8" s="34" t="s">
        <v>621</v>
      </c>
    </row>
    <row r="9" customFormat="false" ht="30" hidden="false" customHeight="true" outlineLevel="0" collapsed="false">
      <c r="A9" s="35" t="s">
        <v>622</v>
      </c>
      <c r="B9" s="37" t="s">
        <v>623</v>
      </c>
      <c r="C9" s="40" t="s">
        <v>624</v>
      </c>
      <c r="D9" s="36" t="s">
        <v>625</v>
      </c>
      <c r="E9" s="31" t="s">
        <v>626</v>
      </c>
      <c r="F9" s="32" t="s">
        <v>627</v>
      </c>
      <c r="G9" s="18" t="s">
        <v>628</v>
      </c>
      <c r="H9" s="38" t="s">
        <v>629</v>
      </c>
    </row>
    <row r="10" customFormat="false" ht="21.75" hidden="false" customHeight="true" outlineLevel="0" collapsed="false">
      <c r="A10" s="26" t="s">
        <v>630</v>
      </c>
      <c r="B10" s="26"/>
      <c r="C10" s="26"/>
      <c r="D10" s="26"/>
      <c r="E10" s="26"/>
      <c r="F10" s="26"/>
      <c r="G10" s="26"/>
      <c r="H10" s="26"/>
      <c r="I10" s="26"/>
    </row>
    <row r="11" customFormat="false" ht="30" hidden="false" customHeight="true" outlineLevel="0" collapsed="false">
      <c r="A11" s="35" t="s">
        <v>631</v>
      </c>
      <c r="B11" s="29" t="s">
        <v>632</v>
      </c>
      <c r="C11" s="36" t="s">
        <v>633</v>
      </c>
      <c r="D11" s="36" t="s">
        <v>140</v>
      </c>
      <c r="E11" s="31" t="s">
        <v>634</v>
      </c>
      <c r="F11" s="32" t="s">
        <v>635</v>
      </c>
      <c r="G11" s="18" t="s">
        <v>636</v>
      </c>
      <c r="H11" s="38" t="s">
        <v>637</v>
      </c>
    </row>
    <row r="12" customFormat="false" ht="30" hidden="false" customHeight="true" outlineLevel="0" collapsed="false">
      <c r="A12" s="28" t="s">
        <v>186</v>
      </c>
      <c r="B12" s="37" t="s">
        <v>638</v>
      </c>
      <c r="C12" s="40" t="s">
        <v>288</v>
      </c>
      <c r="D12" s="30" t="s">
        <v>140</v>
      </c>
      <c r="E12" s="31" t="s">
        <v>639</v>
      </c>
      <c r="F12" s="32" t="s">
        <v>640</v>
      </c>
      <c r="G12" s="33" t="s">
        <v>641</v>
      </c>
      <c r="H12" s="34" t="s">
        <v>642</v>
      </c>
    </row>
    <row r="13" customFormat="false" ht="30" hidden="false" customHeight="true" outlineLevel="0" collapsed="false">
      <c r="A13" s="35" t="s">
        <v>643</v>
      </c>
      <c r="B13" s="37" t="s">
        <v>644</v>
      </c>
      <c r="C13" s="39" t="s">
        <v>645</v>
      </c>
      <c r="D13" s="36" t="s">
        <v>646</v>
      </c>
      <c r="E13" s="31" t="s">
        <v>647</v>
      </c>
      <c r="F13" s="32" t="s">
        <v>648</v>
      </c>
      <c r="G13" s="18" t="s">
        <v>649</v>
      </c>
      <c r="H13" s="38" t="s">
        <v>650</v>
      </c>
    </row>
    <row r="14" customFormat="false" ht="30" hidden="false" customHeight="true" outlineLevel="0" collapsed="false">
      <c r="A14" s="28" t="s">
        <v>651</v>
      </c>
      <c r="B14" s="37" t="s">
        <v>652</v>
      </c>
      <c r="C14" s="30" t="s">
        <v>653</v>
      </c>
      <c r="D14" s="30" t="s">
        <v>654</v>
      </c>
      <c r="E14" s="31" t="s">
        <v>655</v>
      </c>
      <c r="F14" s="32" t="s">
        <v>656</v>
      </c>
      <c r="G14" s="33" t="s">
        <v>657</v>
      </c>
      <c r="H14" s="34" t="s">
        <v>658</v>
      </c>
    </row>
    <row r="15" customFormat="false" ht="21.75" hidden="false" customHeight="true" outlineLevel="0" collapsed="false">
      <c r="A15" s="26" t="s">
        <v>659</v>
      </c>
      <c r="B15" s="26"/>
      <c r="C15" s="26"/>
      <c r="D15" s="26"/>
      <c r="E15" s="26"/>
      <c r="F15" s="26"/>
      <c r="G15" s="26"/>
      <c r="H15" s="26"/>
      <c r="I15" s="26"/>
    </row>
    <row r="16" customFormat="false" ht="30" hidden="false" customHeight="true" outlineLevel="0" collapsed="false">
      <c r="A16" s="28" t="s">
        <v>660</v>
      </c>
      <c r="B16" s="37" t="s">
        <v>661</v>
      </c>
      <c r="C16" s="40" t="s">
        <v>662</v>
      </c>
      <c r="D16" s="39" t="s">
        <v>663</v>
      </c>
      <c r="E16" s="31" t="s">
        <v>664</v>
      </c>
      <c r="F16" s="32" t="s">
        <v>665</v>
      </c>
      <c r="G16" s="33" t="s">
        <v>666</v>
      </c>
      <c r="H16" s="34" t="s">
        <v>667</v>
      </c>
    </row>
    <row r="17" customFormat="false" ht="30" hidden="false" customHeight="true" outlineLevel="0" collapsed="false">
      <c r="A17" s="35" t="s">
        <v>668</v>
      </c>
      <c r="B17" s="36" t="s">
        <v>669</v>
      </c>
      <c r="C17" s="36" t="s">
        <v>670</v>
      </c>
      <c r="D17" s="29" t="s">
        <v>671</v>
      </c>
      <c r="E17" s="31" t="s">
        <v>672</v>
      </c>
      <c r="F17" s="32" t="s">
        <v>673</v>
      </c>
      <c r="G17" s="18" t="s">
        <v>674</v>
      </c>
      <c r="H17" s="38" t="s">
        <v>675</v>
      </c>
    </row>
  </sheetData>
  <mergeCells count="6">
    <mergeCell ref="A1:I1"/>
    <mergeCell ref="A2:I2"/>
    <mergeCell ref="A3:I3"/>
    <mergeCell ref="A6:I6"/>
    <mergeCell ref="A10:I10"/>
    <mergeCell ref="A15:I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20"/>
    <col collapsed="false" customWidth="true" hidden="false" outlineLevel="0" max="5" min="5" style="0" width="14"/>
    <col collapsed="false" customWidth="true" hidden="false" outlineLevel="0" max="6" min="6" style="0" width="26"/>
    <col collapsed="false" customWidth="true" hidden="false" outlineLevel="0" max="7" min="7" style="0" width="40"/>
    <col collapsed="false" customWidth="true" hidden="false" outlineLevel="0" max="8" min="8" style="0" width="28"/>
  </cols>
  <sheetData>
    <row r="1" customFormat="false" ht="43.5" hidden="false" customHeight="true" outlineLevel="0" collapsed="false">
      <c r="A1" s="1" t="s">
        <v>676</v>
      </c>
      <c r="B1" s="1"/>
      <c r="C1" s="1"/>
      <c r="D1" s="1"/>
      <c r="E1" s="1"/>
      <c r="F1" s="1"/>
      <c r="G1" s="1"/>
      <c r="H1" s="1"/>
      <c r="I1" s="1"/>
    </row>
    <row r="2" customFormat="false" ht="19.5" hidden="false" customHeight="true" outlineLevel="0" collapsed="false">
      <c r="A2" s="2" t="s">
        <v>677</v>
      </c>
      <c r="B2" s="2"/>
      <c r="C2" s="2"/>
      <c r="D2" s="2"/>
      <c r="E2" s="2"/>
      <c r="F2" s="2"/>
      <c r="G2" s="2"/>
      <c r="H2" s="2"/>
      <c r="I2" s="2"/>
    </row>
    <row r="3" customFormat="false" ht="15.75" hidden="false" customHeight="true" outlineLevel="0" collapsed="false">
      <c r="A3" s="3" t="s">
        <v>678</v>
      </c>
      <c r="B3" s="3"/>
      <c r="C3" s="3"/>
      <c r="D3" s="3"/>
      <c r="E3" s="3"/>
      <c r="F3" s="3"/>
      <c r="G3" s="3"/>
      <c r="H3" s="3"/>
      <c r="I3" s="3"/>
    </row>
    <row r="4" customFormat="false" ht="9.75" hidden="false" customHeight="true" outlineLevel="0" collapsed="false"/>
    <row r="5" customFormat="false" ht="36" hidden="false" customHeight="true" outlineLevel="0" collapsed="false">
      <c r="A5" s="19" t="s">
        <v>60</v>
      </c>
      <c r="B5" s="20" t="s">
        <v>61</v>
      </c>
      <c r="C5" s="21" t="s">
        <v>62</v>
      </c>
      <c r="D5" s="22" t="s">
        <v>63</v>
      </c>
      <c r="E5" s="23" t="s">
        <v>64</v>
      </c>
      <c r="F5" s="24" t="s">
        <v>65</v>
      </c>
      <c r="G5" s="25" t="s">
        <v>66</v>
      </c>
      <c r="H5" s="19" t="s">
        <v>67</v>
      </c>
    </row>
    <row r="6" customFormat="false" ht="21.75" hidden="false" customHeight="true" outlineLevel="0" collapsed="false">
      <c r="A6" s="26" t="s">
        <v>679</v>
      </c>
      <c r="B6" s="26"/>
      <c r="C6" s="26"/>
      <c r="D6" s="26"/>
      <c r="E6" s="26"/>
      <c r="F6" s="26"/>
      <c r="G6" s="26"/>
      <c r="H6" s="26"/>
      <c r="I6" s="26"/>
    </row>
    <row r="7" customFormat="false" ht="15.75" hidden="false" customHeight="true" outlineLevel="0" collapsed="false">
      <c r="A7" s="27" t="s">
        <v>680</v>
      </c>
      <c r="B7" s="27"/>
      <c r="C7" s="27"/>
      <c r="D7" s="27"/>
      <c r="E7" s="27"/>
      <c r="F7" s="27"/>
      <c r="G7" s="27"/>
      <c r="H7" s="27"/>
      <c r="I7" s="27"/>
    </row>
    <row r="8" customFormat="false" ht="30" hidden="false" customHeight="true" outlineLevel="0" collapsed="false">
      <c r="A8" s="28" t="s">
        <v>681</v>
      </c>
      <c r="B8" s="37" t="s">
        <v>682</v>
      </c>
      <c r="C8" s="40" t="s">
        <v>683</v>
      </c>
      <c r="D8" s="39" t="s">
        <v>684</v>
      </c>
      <c r="E8" s="31" t="s">
        <v>685</v>
      </c>
      <c r="F8" s="32" t="s">
        <v>686</v>
      </c>
      <c r="G8" s="33" t="s">
        <v>687</v>
      </c>
      <c r="H8" s="34" t="s">
        <v>688</v>
      </c>
    </row>
    <row r="9" customFormat="false" ht="30" hidden="false" customHeight="true" outlineLevel="0" collapsed="false">
      <c r="A9" s="35" t="s">
        <v>689</v>
      </c>
      <c r="B9" s="37" t="s">
        <v>690</v>
      </c>
      <c r="C9" s="40" t="s">
        <v>691</v>
      </c>
      <c r="D9" s="36" t="s">
        <v>692</v>
      </c>
      <c r="E9" s="31" t="s">
        <v>693</v>
      </c>
      <c r="F9" s="32" t="s">
        <v>694</v>
      </c>
      <c r="G9" s="18" t="s">
        <v>695</v>
      </c>
      <c r="H9" s="38" t="s">
        <v>696</v>
      </c>
    </row>
    <row r="10" customFormat="false" ht="30" hidden="false" customHeight="true" outlineLevel="0" collapsed="false">
      <c r="A10" s="28" t="s">
        <v>697</v>
      </c>
      <c r="B10" s="39" t="s">
        <v>698</v>
      </c>
      <c r="C10" s="37" t="s">
        <v>699</v>
      </c>
      <c r="D10" s="39" t="s">
        <v>700</v>
      </c>
      <c r="E10" s="31" t="s">
        <v>701</v>
      </c>
      <c r="F10" s="32" t="s">
        <v>702</v>
      </c>
      <c r="G10" s="33" t="s">
        <v>703</v>
      </c>
      <c r="H10" s="34" t="s">
        <v>704</v>
      </c>
    </row>
    <row r="11" customFormat="false" ht="30" hidden="false" customHeight="true" outlineLevel="0" collapsed="false">
      <c r="A11" s="35" t="s">
        <v>705</v>
      </c>
      <c r="B11" s="37" t="s">
        <v>706</v>
      </c>
      <c r="C11" s="40" t="s">
        <v>707</v>
      </c>
      <c r="D11" s="36" t="s">
        <v>708</v>
      </c>
      <c r="E11" s="31" t="s">
        <v>709</v>
      </c>
      <c r="F11" s="32" t="s">
        <v>710</v>
      </c>
      <c r="G11" s="18" t="s">
        <v>711</v>
      </c>
      <c r="H11" s="38" t="s">
        <v>712</v>
      </c>
    </row>
    <row r="12" customFormat="false" ht="21.75" hidden="false" customHeight="true" outlineLevel="0" collapsed="false">
      <c r="A12" s="26" t="s">
        <v>713</v>
      </c>
      <c r="B12" s="26"/>
      <c r="C12" s="26"/>
      <c r="D12" s="26"/>
      <c r="E12" s="26"/>
      <c r="F12" s="26"/>
      <c r="G12" s="26"/>
      <c r="H12" s="26"/>
      <c r="I12" s="26"/>
    </row>
    <row r="13" customFormat="false" ht="15.75" hidden="false" customHeight="true" outlineLevel="0" collapsed="false">
      <c r="A13" s="27" t="s">
        <v>714</v>
      </c>
      <c r="B13" s="27"/>
      <c r="C13" s="27"/>
      <c r="D13" s="27"/>
      <c r="E13" s="27"/>
      <c r="F13" s="27"/>
      <c r="G13" s="27"/>
      <c r="H13" s="27"/>
      <c r="I13" s="27"/>
    </row>
    <row r="14" customFormat="false" ht="30" hidden="false" customHeight="true" outlineLevel="0" collapsed="false">
      <c r="A14" s="28" t="s">
        <v>715</v>
      </c>
      <c r="B14" s="30" t="s">
        <v>716</v>
      </c>
      <c r="C14" s="29" t="s">
        <v>717</v>
      </c>
      <c r="D14" s="37" t="s">
        <v>718</v>
      </c>
      <c r="E14" s="31" t="s">
        <v>719</v>
      </c>
      <c r="F14" s="32" t="s">
        <v>720</v>
      </c>
      <c r="G14" s="33" t="s">
        <v>721</v>
      </c>
      <c r="H14" s="34" t="s">
        <v>722</v>
      </c>
    </row>
    <row r="15" customFormat="false" ht="30" hidden="false" customHeight="true" outlineLevel="0" collapsed="false">
      <c r="A15" s="35" t="s">
        <v>723</v>
      </c>
      <c r="B15" s="36" t="s">
        <v>140</v>
      </c>
      <c r="C15" s="36" t="s">
        <v>724</v>
      </c>
      <c r="D15" s="37" t="s">
        <v>725</v>
      </c>
      <c r="E15" s="31" t="s">
        <v>726</v>
      </c>
      <c r="F15" s="32" t="s">
        <v>727</v>
      </c>
      <c r="G15" s="18" t="s">
        <v>728</v>
      </c>
      <c r="H15" s="38" t="s">
        <v>729</v>
      </c>
    </row>
    <row r="16" customFormat="false" ht="30" hidden="false" customHeight="true" outlineLevel="0" collapsed="false">
      <c r="A16" s="28" t="s">
        <v>730</v>
      </c>
      <c r="B16" s="30" t="s">
        <v>731</v>
      </c>
      <c r="C16" s="40" t="s">
        <v>732</v>
      </c>
      <c r="D16" s="37" t="s">
        <v>733</v>
      </c>
      <c r="E16" s="31" t="s">
        <v>734</v>
      </c>
      <c r="F16" s="32" t="s">
        <v>735</v>
      </c>
      <c r="G16" s="33" t="s">
        <v>736</v>
      </c>
      <c r="H16" s="34" t="s">
        <v>737</v>
      </c>
    </row>
    <row r="17" customFormat="false" ht="21.75" hidden="false" customHeight="true" outlineLevel="0" collapsed="false">
      <c r="A17" s="26" t="s">
        <v>738</v>
      </c>
      <c r="B17" s="26"/>
      <c r="C17" s="26"/>
      <c r="D17" s="26"/>
      <c r="E17" s="26"/>
      <c r="F17" s="26"/>
      <c r="G17" s="26"/>
      <c r="H17" s="26"/>
      <c r="I17" s="26"/>
    </row>
    <row r="18" customFormat="false" ht="15.75" hidden="false" customHeight="true" outlineLevel="0" collapsed="false">
      <c r="A18" s="27" t="s">
        <v>739</v>
      </c>
      <c r="B18" s="27"/>
      <c r="C18" s="27"/>
      <c r="D18" s="27"/>
      <c r="E18" s="27"/>
      <c r="F18" s="27"/>
      <c r="G18" s="27"/>
      <c r="H18" s="27"/>
      <c r="I18" s="27"/>
    </row>
    <row r="19" customFormat="false" ht="30" hidden="false" customHeight="true" outlineLevel="0" collapsed="false">
      <c r="A19" s="35" t="s">
        <v>740</v>
      </c>
      <c r="B19" s="36" t="s">
        <v>741</v>
      </c>
      <c r="C19" s="37" t="s">
        <v>742</v>
      </c>
      <c r="D19" s="36" t="s">
        <v>140</v>
      </c>
      <c r="E19" s="31" t="s">
        <v>743</v>
      </c>
      <c r="F19" s="32" t="s">
        <v>744</v>
      </c>
      <c r="G19" s="18" t="s">
        <v>745</v>
      </c>
      <c r="H19" s="38" t="s">
        <v>746</v>
      </c>
    </row>
    <row r="20" customFormat="false" ht="30" hidden="false" customHeight="true" outlineLevel="0" collapsed="false">
      <c r="A20" s="28" t="s">
        <v>747</v>
      </c>
      <c r="B20" s="30" t="s">
        <v>748</v>
      </c>
      <c r="C20" s="30" t="s">
        <v>749</v>
      </c>
      <c r="D20" s="30" t="s">
        <v>750</v>
      </c>
      <c r="E20" s="31" t="s">
        <v>751</v>
      </c>
      <c r="F20" s="32" t="s">
        <v>752</v>
      </c>
      <c r="G20" s="33" t="s">
        <v>753</v>
      </c>
      <c r="H20" s="34" t="s">
        <v>754</v>
      </c>
    </row>
    <row r="21" customFormat="false" ht="30" hidden="false" customHeight="true" outlineLevel="0" collapsed="false">
      <c r="A21" s="35" t="s">
        <v>755</v>
      </c>
      <c r="B21" s="36" t="s">
        <v>140</v>
      </c>
      <c r="C21" s="36" t="s">
        <v>140</v>
      </c>
      <c r="D21" s="36" t="s">
        <v>756</v>
      </c>
      <c r="E21" s="31" t="s">
        <v>757</v>
      </c>
      <c r="F21" s="32" t="s">
        <v>758</v>
      </c>
      <c r="G21" s="18" t="s">
        <v>759</v>
      </c>
      <c r="H21" s="38" t="s">
        <v>760</v>
      </c>
    </row>
  </sheetData>
  <mergeCells count="9">
    <mergeCell ref="A1:I1"/>
    <mergeCell ref="A2:I2"/>
    <mergeCell ref="A3:I3"/>
    <mergeCell ref="A6:I6"/>
    <mergeCell ref="A7:I7"/>
    <mergeCell ref="A12:I12"/>
    <mergeCell ref="A13:I13"/>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26"/>
    <col collapsed="false" customWidth="true" hidden="false" outlineLevel="0" max="5" min="5" style="0" width="40"/>
  </cols>
  <sheetData>
    <row r="1" customFormat="false" ht="43.5" hidden="false" customHeight="true" outlineLevel="0" collapsed="false">
      <c r="A1" s="1" t="s">
        <v>761</v>
      </c>
      <c r="B1" s="1"/>
      <c r="C1" s="1"/>
      <c r="D1" s="1"/>
      <c r="E1" s="1"/>
      <c r="F1" s="1"/>
      <c r="G1" s="1"/>
      <c r="H1" s="1"/>
      <c r="I1" s="1"/>
    </row>
    <row r="2" customFormat="false" ht="19.5" hidden="false" customHeight="true" outlineLevel="0" collapsed="false">
      <c r="A2" s="2" t="s">
        <v>762</v>
      </c>
      <c r="B2" s="2"/>
      <c r="C2" s="2"/>
      <c r="D2" s="2"/>
      <c r="E2" s="2"/>
      <c r="F2" s="2"/>
      <c r="G2" s="2"/>
      <c r="H2" s="2"/>
      <c r="I2" s="2"/>
    </row>
    <row r="3" customFormat="false" ht="15.75" hidden="false" customHeight="true" outlineLevel="0" collapsed="false">
      <c r="A3" s="3" t="s">
        <v>763</v>
      </c>
      <c r="B3" s="3"/>
      <c r="C3" s="3"/>
      <c r="D3" s="3"/>
      <c r="E3" s="3"/>
      <c r="F3" s="3"/>
      <c r="G3" s="3"/>
      <c r="H3" s="3"/>
      <c r="I3" s="3"/>
    </row>
    <row r="4" customFormat="false" ht="9.75" hidden="false" customHeight="true" outlineLevel="0" collapsed="false"/>
    <row r="5" customFormat="false" ht="7.5" hidden="false" customHeight="true" outlineLevel="0" collapsed="false"/>
    <row r="6" customFormat="false" ht="27.75" hidden="false" customHeight="true" outlineLevel="0" collapsed="false">
      <c r="A6" s="19" t="s">
        <v>764</v>
      </c>
      <c r="B6" s="20" t="s">
        <v>4</v>
      </c>
      <c r="C6" s="21" t="s">
        <v>8</v>
      </c>
      <c r="D6" s="22" t="s">
        <v>12</v>
      </c>
      <c r="E6" s="25" t="s">
        <v>765</v>
      </c>
    </row>
    <row r="7" customFormat="false" ht="37.5" hidden="false" customHeight="true" outlineLevel="0" collapsed="false">
      <c r="A7" s="42" t="s">
        <v>766</v>
      </c>
      <c r="B7" s="43" t="s">
        <v>767</v>
      </c>
      <c r="C7" s="44" t="s">
        <v>768</v>
      </c>
      <c r="D7" s="45" t="s">
        <v>769</v>
      </c>
      <c r="E7" s="46" t="s">
        <v>770</v>
      </c>
    </row>
    <row r="8" customFormat="false" ht="37.5" hidden="false" customHeight="true" outlineLevel="0" collapsed="false">
      <c r="A8" s="42"/>
      <c r="B8" s="42"/>
      <c r="C8" s="42"/>
      <c r="D8" s="42"/>
      <c r="E8" s="42"/>
    </row>
    <row r="9" customFormat="false" ht="37.5" hidden="false" customHeight="true" outlineLevel="0" collapsed="false">
      <c r="A9" s="42" t="s">
        <v>771</v>
      </c>
      <c r="B9" s="43" t="s">
        <v>772</v>
      </c>
      <c r="C9" s="44" t="s">
        <v>773</v>
      </c>
      <c r="D9" s="45" t="s">
        <v>774</v>
      </c>
      <c r="E9" s="46" t="s">
        <v>775</v>
      </c>
    </row>
    <row r="10" customFormat="false" ht="37.5" hidden="false" customHeight="true" outlineLevel="0" collapsed="false">
      <c r="A10" s="42"/>
      <c r="B10" s="42"/>
      <c r="C10" s="42"/>
      <c r="D10" s="42"/>
      <c r="E10" s="42"/>
    </row>
    <row r="11" customFormat="false" ht="37.5" hidden="false" customHeight="true" outlineLevel="0" collapsed="false">
      <c r="A11" s="42" t="s">
        <v>776</v>
      </c>
      <c r="B11" s="43" t="s">
        <v>777</v>
      </c>
      <c r="C11" s="44" t="s">
        <v>778</v>
      </c>
      <c r="D11" s="45" t="s">
        <v>779</v>
      </c>
      <c r="E11" s="46" t="s">
        <v>780</v>
      </c>
    </row>
    <row r="12" customFormat="false" ht="37.5" hidden="false" customHeight="true" outlineLevel="0" collapsed="false">
      <c r="A12" s="42"/>
      <c r="B12" s="42"/>
      <c r="C12" s="42"/>
      <c r="D12" s="42"/>
      <c r="E12" s="42"/>
    </row>
    <row r="13" customFormat="false" ht="37.5" hidden="false" customHeight="true" outlineLevel="0" collapsed="false">
      <c r="A13" s="42" t="s">
        <v>781</v>
      </c>
      <c r="B13" s="43" t="s">
        <v>782</v>
      </c>
      <c r="C13" s="44" t="s">
        <v>783</v>
      </c>
      <c r="D13" s="45" t="s">
        <v>784</v>
      </c>
      <c r="E13" s="46" t="s">
        <v>785</v>
      </c>
    </row>
    <row r="14" customFormat="false" ht="37.5" hidden="false" customHeight="true" outlineLevel="0" collapsed="false">
      <c r="A14" s="42"/>
      <c r="B14" s="42"/>
      <c r="C14" s="42"/>
      <c r="D14" s="42"/>
      <c r="E14" s="42"/>
    </row>
    <row r="15" customFormat="false" ht="37.5" hidden="false" customHeight="true" outlineLevel="0" collapsed="false">
      <c r="A15" s="42" t="s">
        <v>786</v>
      </c>
      <c r="B15" s="43" t="s">
        <v>787</v>
      </c>
      <c r="C15" s="44" t="s">
        <v>788</v>
      </c>
      <c r="D15" s="45" t="s">
        <v>789</v>
      </c>
      <c r="E15" s="46" t="s">
        <v>790</v>
      </c>
    </row>
    <row r="16" customFormat="false" ht="37.5" hidden="false" customHeight="true" outlineLevel="0" collapsed="false">
      <c r="A16" s="42"/>
      <c r="B16" s="42"/>
      <c r="C16" s="42"/>
      <c r="D16" s="42"/>
      <c r="E16" s="42"/>
    </row>
  </sheetData>
  <mergeCells count="28">
    <mergeCell ref="A1:I1"/>
    <mergeCell ref="A2:I2"/>
    <mergeCell ref="A3:I3"/>
    <mergeCell ref="A7:A8"/>
    <mergeCell ref="B7:B8"/>
    <mergeCell ref="C7:C8"/>
    <mergeCell ref="D7:D8"/>
    <mergeCell ref="E7:E8"/>
    <mergeCell ref="A9:A10"/>
    <mergeCell ref="B9:B10"/>
    <mergeCell ref="C9:C10"/>
    <mergeCell ref="D9:D10"/>
    <mergeCell ref="E9:E10"/>
    <mergeCell ref="A11:A12"/>
    <mergeCell ref="B11:B12"/>
    <mergeCell ref="C11:C12"/>
    <mergeCell ref="D11:D12"/>
    <mergeCell ref="E11:E12"/>
    <mergeCell ref="A13:A14"/>
    <mergeCell ref="B13:B14"/>
    <mergeCell ref="C13:C14"/>
    <mergeCell ref="D13:D14"/>
    <mergeCell ref="E13:E14"/>
    <mergeCell ref="A15:A16"/>
    <mergeCell ref="B15:B16"/>
    <mergeCell ref="C15:C16"/>
    <mergeCell ref="D15:D16"/>
    <mergeCell ref="E15: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4" min="2" style="0" width="18"/>
    <col collapsed="false" customWidth="true" hidden="false" outlineLevel="0" max="5" min="5" style="0" width="14"/>
    <col collapsed="false" customWidth="true" hidden="false" outlineLevel="0" max="7" min="6" style="0" width="10"/>
    <col collapsed="false" customWidth="true" hidden="false" outlineLevel="0" max="8" min="8" style="0" width="42"/>
  </cols>
  <sheetData>
    <row r="1" customFormat="false" ht="42" hidden="false" customHeight="true" outlineLevel="0" collapsed="false">
      <c r="A1" s="1" t="s">
        <v>791</v>
      </c>
      <c r="B1" s="1"/>
      <c r="C1" s="1"/>
      <c r="D1" s="1"/>
      <c r="E1" s="1"/>
      <c r="F1" s="1"/>
      <c r="G1" s="1"/>
      <c r="H1" s="1"/>
    </row>
    <row r="2" customFormat="false" ht="19.5" hidden="false" customHeight="true" outlineLevel="0" collapsed="false">
      <c r="A2" s="2" t="s">
        <v>792</v>
      </c>
      <c r="B2" s="2"/>
      <c r="C2" s="2"/>
      <c r="D2" s="2"/>
      <c r="E2" s="2"/>
      <c r="F2" s="2"/>
      <c r="G2" s="2"/>
      <c r="H2" s="2"/>
    </row>
    <row r="4" customFormat="false" ht="30" hidden="false" customHeight="true" outlineLevel="0" collapsed="false">
      <c r="A4" s="19" t="s">
        <v>793</v>
      </c>
      <c r="B4" s="20" t="s">
        <v>794</v>
      </c>
      <c r="C4" s="21" t="s">
        <v>795</v>
      </c>
      <c r="D4" s="22" t="s">
        <v>796</v>
      </c>
      <c r="E4" s="23" t="s">
        <v>797</v>
      </c>
      <c r="F4" s="47" t="s">
        <v>798</v>
      </c>
      <c r="G4" s="25" t="s">
        <v>799</v>
      </c>
      <c r="H4" s="25" t="s">
        <v>800</v>
      </c>
    </row>
    <row r="5" customFormat="false" ht="21.75" hidden="false" customHeight="true" outlineLevel="0" collapsed="false">
      <c r="A5" s="26" t="s">
        <v>801</v>
      </c>
      <c r="B5" s="26"/>
      <c r="C5" s="26"/>
      <c r="D5" s="26"/>
      <c r="E5" s="26"/>
      <c r="F5" s="26"/>
      <c r="G5" s="26"/>
      <c r="H5" s="26"/>
    </row>
    <row r="6" customFormat="false" ht="25.5" hidden="false" customHeight="true" outlineLevel="0" collapsed="false">
      <c r="A6" s="28" t="s">
        <v>802</v>
      </c>
      <c r="B6" s="37" t="s">
        <v>803</v>
      </c>
      <c r="C6" s="39" t="s">
        <v>804</v>
      </c>
      <c r="D6" s="40" t="s">
        <v>805</v>
      </c>
      <c r="E6" s="31" t="s">
        <v>806</v>
      </c>
      <c r="F6" s="48" t="s">
        <v>807</v>
      </c>
      <c r="G6" s="49" t="s">
        <v>808</v>
      </c>
      <c r="H6" s="33" t="s">
        <v>809</v>
      </c>
    </row>
    <row r="7" customFormat="false" ht="25.5" hidden="false" customHeight="true" outlineLevel="0" collapsed="false">
      <c r="A7" s="35" t="s">
        <v>810</v>
      </c>
      <c r="B7" s="39" t="s">
        <v>811</v>
      </c>
      <c r="C7" s="37" t="s">
        <v>812</v>
      </c>
      <c r="D7" s="40" t="s">
        <v>813</v>
      </c>
      <c r="E7" s="31" t="s">
        <v>814</v>
      </c>
      <c r="F7" s="50" t="s">
        <v>795</v>
      </c>
      <c r="G7" s="49" t="s">
        <v>808</v>
      </c>
      <c r="H7" s="18" t="s">
        <v>815</v>
      </c>
    </row>
    <row r="8" customFormat="false" ht="25.5" hidden="false" customHeight="true" outlineLevel="0" collapsed="false">
      <c r="A8" s="28" t="s">
        <v>816</v>
      </c>
      <c r="B8" s="39" t="s">
        <v>817</v>
      </c>
      <c r="C8" s="37" t="s">
        <v>818</v>
      </c>
      <c r="D8" s="40" t="s">
        <v>819</v>
      </c>
      <c r="E8" s="31" t="s">
        <v>820</v>
      </c>
      <c r="F8" s="50" t="s">
        <v>821</v>
      </c>
      <c r="G8" s="49" t="s">
        <v>808</v>
      </c>
      <c r="H8" s="33" t="s">
        <v>822</v>
      </c>
    </row>
    <row r="9" customFormat="false" ht="21.75" hidden="false" customHeight="true" outlineLevel="0" collapsed="false">
      <c r="A9" s="26" t="s">
        <v>823</v>
      </c>
      <c r="B9" s="26"/>
      <c r="C9" s="26"/>
      <c r="D9" s="26"/>
      <c r="E9" s="26"/>
      <c r="F9" s="26"/>
      <c r="G9" s="26"/>
      <c r="H9" s="26"/>
    </row>
    <row r="10" customFormat="false" ht="25.5" hidden="false" customHeight="true" outlineLevel="0" collapsed="false">
      <c r="A10" s="28" t="s">
        <v>824</v>
      </c>
      <c r="B10" s="37" t="s">
        <v>825</v>
      </c>
      <c r="C10" s="40" t="s">
        <v>826</v>
      </c>
      <c r="D10" s="30" t="s">
        <v>140</v>
      </c>
      <c r="E10" s="31" t="s">
        <v>827</v>
      </c>
      <c r="F10" s="48" t="s">
        <v>794</v>
      </c>
      <c r="G10" s="49" t="s">
        <v>828</v>
      </c>
      <c r="H10" s="33" t="s">
        <v>829</v>
      </c>
    </row>
    <row r="11" customFormat="false" ht="25.5" hidden="false" customHeight="true" outlineLevel="0" collapsed="false">
      <c r="A11" s="35" t="s">
        <v>186</v>
      </c>
      <c r="B11" s="37" t="s">
        <v>830</v>
      </c>
      <c r="C11" s="40" t="s">
        <v>831</v>
      </c>
      <c r="D11" s="36" t="s">
        <v>140</v>
      </c>
      <c r="E11" s="31" t="s">
        <v>832</v>
      </c>
      <c r="F11" s="48" t="s">
        <v>794</v>
      </c>
      <c r="G11" s="49" t="s">
        <v>828</v>
      </c>
      <c r="H11" s="18" t="s">
        <v>833</v>
      </c>
    </row>
    <row r="12" customFormat="false" ht="25.5" hidden="false" customHeight="true" outlineLevel="0" collapsed="false">
      <c r="A12" s="28" t="s">
        <v>834</v>
      </c>
      <c r="B12" s="40" t="s">
        <v>835</v>
      </c>
      <c r="C12" s="40" t="s">
        <v>836</v>
      </c>
      <c r="D12" s="40" t="s">
        <v>837</v>
      </c>
      <c r="E12" s="31" t="s">
        <v>838</v>
      </c>
      <c r="F12" s="51" t="s">
        <v>839</v>
      </c>
      <c r="G12" s="49" t="s">
        <v>828</v>
      </c>
      <c r="H12" s="33" t="s">
        <v>840</v>
      </c>
    </row>
    <row r="13" customFormat="false" ht="25.5" hidden="false" customHeight="true" outlineLevel="0" collapsed="false">
      <c r="A13" s="35" t="s">
        <v>841</v>
      </c>
      <c r="B13" s="40" t="s">
        <v>842</v>
      </c>
      <c r="C13" s="37" t="s">
        <v>843</v>
      </c>
      <c r="D13" s="40" t="s">
        <v>844</v>
      </c>
      <c r="E13" s="31" t="s">
        <v>845</v>
      </c>
      <c r="F13" s="50" t="s">
        <v>821</v>
      </c>
      <c r="G13" s="49" t="s">
        <v>828</v>
      </c>
      <c r="H13" s="18" t="s">
        <v>846</v>
      </c>
    </row>
    <row r="14" customFormat="false" ht="21.75" hidden="false" customHeight="true" outlineLevel="0" collapsed="false">
      <c r="A14" s="26" t="s">
        <v>847</v>
      </c>
      <c r="B14" s="26"/>
      <c r="C14" s="26"/>
      <c r="D14" s="26"/>
      <c r="E14" s="26"/>
      <c r="F14" s="26"/>
      <c r="G14" s="26"/>
      <c r="H14" s="26"/>
    </row>
    <row r="15" customFormat="false" ht="25.5" hidden="false" customHeight="true" outlineLevel="0" collapsed="false">
      <c r="A15" s="35" t="s">
        <v>848</v>
      </c>
      <c r="B15" s="36" t="s">
        <v>280</v>
      </c>
      <c r="C15" s="37" t="s">
        <v>849</v>
      </c>
      <c r="D15" s="37" t="s">
        <v>850</v>
      </c>
      <c r="E15" s="31" t="s">
        <v>851</v>
      </c>
      <c r="F15" s="50" t="s">
        <v>821</v>
      </c>
      <c r="G15" s="49" t="s">
        <v>852</v>
      </c>
      <c r="H15" s="18" t="s">
        <v>853</v>
      </c>
    </row>
    <row r="16" customFormat="false" ht="25.5" hidden="false" customHeight="true" outlineLevel="0" collapsed="false">
      <c r="A16" s="28" t="s">
        <v>854</v>
      </c>
      <c r="B16" s="39" t="s">
        <v>855</v>
      </c>
      <c r="C16" s="37" t="s">
        <v>856</v>
      </c>
      <c r="D16" s="40" t="s">
        <v>857</v>
      </c>
      <c r="E16" s="31" t="s">
        <v>858</v>
      </c>
      <c r="F16" s="50" t="s">
        <v>821</v>
      </c>
      <c r="G16" s="49" t="s">
        <v>852</v>
      </c>
      <c r="H16" s="33" t="s">
        <v>859</v>
      </c>
    </row>
    <row r="17" customFormat="false" ht="25.5" hidden="false" customHeight="true" outlineLevel="0" collapsed="false">
      <c r="A17" s="35" t="s">
        <v>860</v>
      </c>
      <c r="B17" s="37" t="s">
        <v>861</v>
      </c>
      <c r="C17" s="40" t="s">
        <v>862</v>
      </c>
      <c r="D17" s="39" t="s">
        <v>863</v>
      </c>
      <c r="E17" s="31" t="s">
        <v>864</v>
      </c>
      <c r="F17" s="48" t="s">
        <v>794</v>
      </c>
      <c r="G17" s="49" t="s">
        <v>852</v>
      </c>
      <c r="H17" s="18" t="s">
        <v>865</v>
      </c>
    </row>
    <row r="18" customFormat="false" ht="25.5" hidden="false" customHeight="true" outlineLevel="0" collapsed="false">
      <c r="A18" s="28" t="s">
        <v>866</v>
      </c>
      <c r="B18" s="39" t="s">
        <v>817</v>
      </c>
      <c r="C18" s="40" t="s">
        <v>867</v>
      </c>
      <c r="D18" s="37" t="s">
        <v>868</v>
      </c>
      <c r="E18" s="31" t="s">
        <v>321</v>
      </c>
      <c r="F18" s="48" t="s">
        <v>869</v>
      </c>
      <c r="G18" s="49" t="s">
        <v>852</v>
      </c>
      <c r="H18" s="33" t="s">
        <v>870</v>
      </c>
    </row>
    <row r="19" customFormat="false" ht="21.75" hidden="false" customHeight="true" outlineLevel="0" collapsed="false">
      <c r="A19" s="26" t="s">
        <v>871</v>
      </c>
      <c r="B19" s="26"/>
      <c r="C19" s="26"/>
      <c r="D19" s="26"/>
      <c r="E19" s="26"/>
      <c r="F19" s="26"/>
      <c r="G19" s="26"/>
      <c r="H19" s="26"/>
    </row>
    <row r="20" customFormat="false" ht="25.5" hidden="false" customHeight="true" outlineLevel="0" collapsed="false">
      <c r="A20" s="28" t="s">
        <v>872</v>
      </c>
      <c r="B20" s="37" t="s">
        <v>803</v>
      </c>
      <c r="C20" s="40" t="s">
        <v>873</v>
      </c>
      <c r="D20" s="39" t="s">
        <v>874</v>
      </c>
      <c r="E20" s="31" t="s">
        <v>875</v>
      </c>
      <c r="F20" s="48" t="s">
        <v>876</v>
      </c>
      <c r="G20" s="49" t="s">
        <v>877</v>
      </c>
      <c r="H20" s="33" t="s">
        <v>878</v>
      </c>
    </row>
    <row r="21" customFormat="false" ht="25.5" hidden="false" customHeight="true" outlineLevel="0" collapsed="false">
      <c r="A21" s="35" t="s">
        <v>879</v>
      </c>
      <c r="B21" s="37" t="s">
        <v>880</v>
      </c>
      <c r="C21" s="36" t="s">
        <v>140</v>
      </c>
      <c r="D21" s="36" t="s">
        <v>140</v>
      </c>
      <c r="E21" s="31" t="s">
        <v>881</v>
      </c>
      <c r="F21" s="48" t="s">
        <v>794</v>
      </c>
      <c r="G21" s="49" t="s">
        <v>877</v>
      </c>
      <c r="H21" s="18" t="s">
        <v>882</v>
      </c>
    </row>
    <row r="22" customFormat="false" ht="25.5" hidden="false" customHeight="true" outlineLevel="0" collapsed="false">
      <c r="A22" s="28" t="s">
        <v>883</v>
      </c>
      <c r="B22" s="37" t="s">
        <v>884</v>
      </c>
      <c r="C22" s="40" t="s">
        <v>885</v>
      </c>
      <c r="D22" s="39" t="s">
        <v>886</v>
      </c>
      <c r="E22" s="31" t="s">
        <v>887</v>
      </c>
      <c r="F22" s="50" t="s">
        <v>821</v>
      </c>
      <c r="G22" s="49" t="s">
        <v>877</v>
      </c>
      <c r="H22" s="33" t="s">
        <v>888</v>
      </c>
    </row>
    <row r="23" customFormat="false" ht="25.5" hidden="false" customHeight="true" outlineLevel="0" collapsed="false">
      <c r="A23" s="35" t="s">
        <v>889</v>
      </c>
      <c r="B23" s="37" t="s">
        <v>890</v>
      </c>
      <c r="C23" s="40" t="s">
        <v>891</v>
      </c>
      <c r="D23" s="39" t="s">
        <v>892</v>
      </c>
      <c r="E23" s="31" t="s">
        <v>893</v>
      </c>
      <c r="F23" s="50" t="s">
        <v>821</v>
      </c>
      <c r="G23" s="49" t="s">
        <v>877</v>
      </c>
      <c r="H23" s="18" t="s">
        <v>894</v>
      </c>
    </row>
    <row r="24" customFormat="false" ht="21.75" hidden="false" customHeight="true" outlineLevel="0" collapsed="false">
      <c r="A24" s="26" t="s">
        <v>895</v>
      </c>
      <c r="B24" s="26"/>
      <c r="C24" s="26"/>
      <c r="D24" s="26"/>
      <c r="E24" s="26"/>
      <c r="F24" s="26"/>
      <c r="G24" s="26"/>
      <c r="H24" s="26"/>
    </row>
    <row r="25" customFormat="false" ht="25.5" hidden="false" customHeight="true" outlineLevel="0" collapsed="false">
      <c r="A25" s="35" t="s">
        <v>896</v>
      </c>
      <c r="B25" s="37" t="s">
        <v>897</v>
      </c>
      <c r="C25" s="40" t="s">
        <v>898</v>
      </c>
      <c r="D25" s="39" t="s">
        <v>899</v>
      </c>
      <c r="E25" s="31" t="s">
        <v>900</v>
      </c>
      <c r="F25" s="48" t="s">
        <v>794</v>
      </c>
      <c r="G25" s="49" t="s">
        <v>901</v>
      </c>
      <c r="H25" s="18" t="s">
        <v>902</v>
      </c>
    </row>
    <row r="26" customFormat="false" ht="25.5" hidden="false" customHeight="true" outlineLevel="0" collapsed="false">
      <c r="A26" s="28" t="s">
        <v>903</v>
      </c>
      <c r="B26" s="40" t="s">
        <v>904</v>
      </c>
      <c r="C26" s="39" t="s">
        <v>905</v>
      </c>
      <c r="D26" s="39" t="s">
        <v>906</v>
      </c>
      <c r="E26" s="31" t="s">
        <v>907</v>
      </c>
      <c r="F26" s="48" t="s">
        <v>908</v>
      </c>
      <c r="G26" s="49" t="s">
        <v>901</v>
      </c>
      <c r="H26" s="33" t="s">
        <v>909</v>
      </c>
    </row>
    <row r="27" customFormat="false" ht="25.5" hidden="false" customHeight="true" outlineLevel="0" collapsed="false">
      <c r="A27" s="35" t="s">
        <v>910</v>
      </c>
      <c r="B27" s="37" t="s">
        <v>911</v>
      </c>
      <c r="C27" s="40" t="s">
        <v>912</v>
      </c>
      <c r="D27" s="39" t="s">
        <v>913</v>
      </c>
      <c r="E27" s="31" t="s">
        <v>914</v>
      </c>
      <c r="F27" s="48" t="s">
        <v>794</v>
      </c>
      <c r="G27" s="49" t="s">
        <v>901</v>
      </c>
      <c r="H27" s="18" t="s">
        <v>915</v>
      </c>
    </row>
    <row r="28" customFormat="false" ht="25.5" hidden="false" customHeight="true" outlineLevel="0" collapsed="false">
      <c r="A28" s="28" t="s">
        <v>916</v>
      </c>
      <c r="B28" s="40" t="s">
        <v>917</v>
      </c>
      <c r="C28" s="39" t="s">
        <v>918</v>
      </c>
      <c r="D28" s="39" t="s">
        <v>919</v>
      </c>
      <c r="E28" s="31" t="s">
        <v>838</v>
      </c>
      <c r="F28" s="50" t="s">
        <v>920</v>
      </c>
      <c r="G28" s="49" t="s">
        <v>901</v>
      </c>
      <c r="H28" s="33" t="s">
        <v>921</v>
      </c>
    </row>
    <row r="29" customFormat="false" ht="25.5" hidden="false" customHeight="true" outlineLevel="0" collapsed="false">
      <c r="A29" s="35" t="s">
        <v>922</v>
      </c>
      <c r="B29" s="40" t="s">
        <v>923</v>
      </c>
      <c r="C29" s="39" t="s">
        <v>924</v>
      </c>
      <c r="D29" s="39" t="s">
        <v>925</v>
      </c>
      <c r="E29" s="31" t="s">
        <v>926</v>
      </c>
      <c r="F29" s="50" t="s">
        <v>920</v>
      </c>
      <c r="G29" s="49" t="s">
        <v>901</v>
      </c>
      <c r="H29" s="18" t="s">
        <v>927</v>
      </c>
    </row>
    <row r="30" customFormat="false" ht="21.75" hidden="false" customHeight="true" outlineLevel="0" collapsed="false">
      <c r="A30" s="26" t="s">
        <v>928</v>
      </c>
      <c r="B30" s="26"/>
      <c r="C30" s="26"/>
      <c r="D30" s="26"/>
      <c r="E30" s="26"/>
      <c r="F30" s="26"/>
      <c r="G30" s="26"/>
      <c r="H30" s="26"/>
    </row>
    <row r="31" customFormat="false" ht="25.5" hidden="false" customHeight="true" outlineLevel="0" collapsed="false">
      <c r="A31" s="35" t="s">
        <v>929</v>
      </c>
      <c r="B31" s="37" t="s">
        <v>930</v>
      </c>
      <c r="C31" s="40" t="s">
        <v>931</v>
      </c>
      <c r="D31" s="39" t="s">
        <v>932</v>
      </c>
      <c r="E31" s="31" t="s">
        <v>933</v>
      </c>
      <c r="F31" s="48" t="s">
        <v>794</v>
      </c>
      <c r="G31" s="49" t="s">
        <v>934</v>
      </c>
      <c r="H31" s="18" t="s">
        <v>935</v>
      </c>
    </row>
    <row r="32" customFormat="false" ht="25.5" hidden="false" customHeight="true" outlineLevel="0" collapsed="false">
      <c r="A32" s="28" t="s">
        <v>936</v>
      </c>
      <c r="B32" s="37" t="s">
        <v>937</v>
      </c>
      <c r="C32" s="40" t="s">
        <v>938</v>
      </c>
      <c r="D32" s="39" t="s">
        <v>939</v>
      </c>
      <c r="E32" s="31" t="s">
        <v>940</v>
      </c>
      <c r="F32" s="48" t="s">
        <v>794</v>
      </c>
      <c r="G32" s="49" t="s">
        <v>934</v>
      </c>
      <c r="H32" s="33" t="s">
        <v>941</v>
      </c>
    </row>
    <row r="33" customFormat="false" ht="25.5" hidden="false" customHeight="true" outlineLevel="0" collapsed="false">
      <c r="A33" s="35" t="s">
        <v>942</v>
      </c>
      <c r="B33" s="37" t="s">
        <v>943</v>
      </c>
      <c r="C33" s="39" t="s">
        <v>944</v>
      </c>
      <c r="D33" s="36" t="s">
        <v>140</v>
      </c>
      <c r="E33" s="31" t="s">
        <v>338</v>
      </c>
      <c r="F33" s="48" t="s">
        <v>794</v>
      </c>
      <c r="G33" s="49" t="s">
        <v>934</v>
      </c>
      <c r="H33" s="18" t="s">
        <v>945</v>
      </c>
    </row>
    <row r="34" customFormat="false" ht="25.5" hidden="false" customHeight="true" outlineLevel="0" collapsed="false">
      <c r="A34" s="28" t="s">
        <v>946</v>
      </c>
      <c r="B34" s="37" t="s">
        <v>947</v>
      </c>
      <c r="C34" s="39" t="s">
        <v>948</v>
      </c>
      <c r="D34" s="30" t="s">
        <v>140</v>
      </c>
      <c r="E34" s="31" t="s">
        <v>949</v>
      </c>
      <c r="F34" s="48" t="s">
        <v>794</v>
      </c>
      <c r="G34" s="49" t="s">
        <v>934</v>
      </c>
      <c r="H34" s="33" t="s">
        <v>950</v>
      </c>
    </row>
    <row r="35" customFormat="false" ht="25.5" hidden="false" customHeight="true" outlineLevel="0" collapsed="false">
      <c r="A35" s="35" t="s">
        <v>951</v>
      </c>
      <c r="B35" s="37" t="s">
        <v>952</v>
      </c>
      <c r="C35" s="40" t="s">
        <v>953</v>
      </c>
      <c r="D35" s="39" t="s">
        <v>954</v>
      </c>
      <c r="E35" s="31" t="s">
        <v>955</v>
      </c>
      <c r="F35" s="48" t="s">
        <v>794</v>
      </c>
      <c r="G35" s="49" t="s">
        <v>934</v>
      </c>
      <c r="H35" s="18" t="s">
        <v>956</v>
      </c>
    </row>
    <row r="36" customFormat="false" ht="25.5" hidden="false" customHeight="true" outlineLevel="0" collapsed="false">
      <c r="A36" s="28" t="s">
        <v>957</v>
      </c>
      <c r="B36" s="37" t="s">
        <v>958</v>
      </c>
      <c r="C36" s="40" t="s">
        <v>959</v>
      </c>
      <c r="D36" s="40" t="s">
        <v>960</v>
      </c>
      <c r="E36" s="31" t="s">
        <v>672</v>
      </c>
      <c r="F36" s="51" t="s">
        <v>961</v>
      </c>
      <c r="G36" s="49" t="s">
        <v>934</v>
      </c>
      <c r="H36" s="33" t="s">
        <v>962</v>
      </c>
    </row>
    <row r="39" customFormat="false" ht="24" hidden="false" customHeight="true" outlineLevel="0" collapsed="false">
      <c r="A39" s="52" t="s">
        <v>963</v>
      </c>
      <c r="B39" s="52"/>
      <c r="C39" s="52"/>
      <c r="D39" s="52"/>
      <c r="E39" s="52"/>
      <c r="F39" s="52"/>
      <c r="G39" s="52"/>
      <c r="H39" s="52"/>
    </row>
    <row r="40" customFormat="false" ht="36" hidden="false" customHeight="true" outlineLevel="0" collapsed="false">
      <c r="A40" s="53" t="s">
        <v>964</v>
      </c>
      <c r="B40" s="54" t="s">
        <v>965</v>
      </c>
      <c r="C40" s="54"/>
      <c r="D40" s="55" t="s">
        <v>966</v>
      </c>
      <c r="E40" s="55"/>
      <c r="F40" s="55"/>
      <c r="G40" s="55"/>
      <c r="H40" s="55"/>
    </row>
    <row r="41" customFormat="false" ht="36" hidden="false" customHeight="true" outlineLevel="0" collapsed="false">
      <c r="A41" s="35" t="s">
        <v>967</v>
      </c>
      <c r="B41" s="54" t="s">
        <v>968</v>
      </c>
      <c r="C41" s="54"/>
      <c r="D41" s="56" t="s">
        <v>969</v>
      </c>
      <c r="E41" s="56"/>
      <c r="F41" s="56"/>
      <c r="G41" s="56"/>
      <c r="H41" s="56"/>
    </row>
    <row r="42" customFormat="false" ht="36" hidden="false" customHeight="true" outlineLevel="0" collapsed="false">
      <c r="A42" s="53" t="s">
        <v>970</v>
      </c>
      <c r="B42" s="54" t="s">
        <v>971</v>
      </c>
      <c r="C42" s="54"/>
      <c r="D42" s="55" t="s">
        <v>972</v>
      </c>
      <c r="E42" s="55"/>
      <c r="F42" s="55"/>
      <c r="G42" s="55"/>
      <c r="H42" s="55"/>
    </row>
    <row r="43" customFormat="false" ht="36" hidden="false" customHeight="true" outlineLevel="0" collapsed="false">
      <c r="A43" s="35" t="s">
        <v>973</v>
      </c>
      <c r="B43" s="54" t="s">
        <v>974</v>
      </c>
      <c r="C43" s="54"/>
      <c r="D43" s="56" t="s">
        <v>975</v>
      </c>
      <c r="E43" s="56"/>
      <c r="F43" s="56"/>
      <c r="G43" s="56"/>
      <c r="H43" s="56"/>
    </row>
    <row r="44" customFormat="false" ht="36" hidden="false" customHeight="true" outlineLevel="0" collapsed="false">
      <c r="A44" s="53" t="s">
        <v>976</v>
      </c>
      <c r="B44" s="54" t="s">
        <v>977</v>
      </c>
      <c r="C44" s="54"/>
      <c r="D44" s="55" t="s">
        <v>978</v>
      </c>
      <c r="E44" s="55"/>
      <c r="F44" s="55"/>
      <c r="G44" s="55"/>
      <c r="H44" s="55"/>
    </row>
  </sheetData>
  <mergeCells count="19">
    <mergeCell ref="A1:H1"/>
    <mergeCell ref="A2:H2"/>
    <mergeCell ref="A5:H5"/>
    <mergeCell ref="A9:H9"/>
    <mergeCell ref="A14:H14"/>
    <mergeCell ref="A19:H19"/>
    <mergeCell ref="A24:H24"/>
    <mergeCell ref="A30:H30"/>
    <mergeCell ref="A39:H39"/>
    <mergeCell ref="B40:C40"/>
    <mergeCell ref="D40:H40"/>
    <mergeCell ref="B41:C41"/>
    <mergeCell ref="D41:H41"/>
    <mergeCell ref="B42:C42"/>
    <mergeCell ref="D42:H42"/>
    <mergeCell ref="B43:C43"/>
    <mergeCell ref="D43:H43"/>
    <mergeCell ref="B44:C44"/>
    <mergeCell ref="D44:H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2026-07-17T09:58:30Z</dcterms:created>
  <dc:creator>openpyxl</dc:creator>
  <dc:description/>
  <dc:language>en-US</dc:language>
  <cp:lastModifiedBy/>
  <dcterms:modified xsi:type="dcterms:W3CDTF">2026-07-17T09:58:35Z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
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inancials" sheetId="2" state="visible" r:id="rId4"/>
    <sheet name="Revenue by Line" sheetId="3" state="visible" r:id="rId5"/>
    <sheet name="Spend" sheetId="4" state="visible" r:id="rId6"/>
    <sheet name="Operating Metrics" sheetId="5" state="visible" r:id="rId7"/>
    <sheet name="Affiliated NPIs" sheetId="6" state="visible" r:id="rId8"/>
    <sheet name="Payment Integrity Play" sheetId="7" state="visible" r:id="rId9"/>
    <sheet name="Data Ask &amp; Growth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<sst xmlns="http://schemas.openxmlformats.org/spreadsheetml/2006/main" count="432" uniqueCount="324">
  <si>
    <t xml:space="preserve">CenterWell (a Humana Inc. company) — Executive Profile</t>
  </si>
  <si>
    <t xml:space="preserve">Prepared Oct 1, 2026 from Humana SEC filings &amp; earnings releases. See 'Sources' tab. $ in millions unless noted.</t>
  </si>
  <si>
    <t xml:space="preserve">Attribute</t>
  </si>
  <si>
    <t xml:space="preserve">Detail</t>
  </si>
  <si>
    <t xml:space="preserve">Parent company</t>
  </si>
  <si>
    <t xml:space="preserve">Humana Inc. (NYSE: HUM), Louisville, KY</t>
  </si>
  <si>
    <t xml:space="preserve">What CenterWell is</t>
  </si>
  <si>
    <t xml:space="preserve">Humana's payer-agnostic healthcare services arm: pharmacy (excl. PBM), senior primary care, and home solutions. Serves patients on many health plans, not only Humana.</t>
  </si>
  <si>
    <t xml:space="preserve">Reporting segment</t>
  </si>
  <si>
    <t xml:space="preserve">One of Humana's two reportable segments (Insurance + CenterWell). Formerly 'Healthcare Services'; realigned Dec 2022.</t>
  </si>
  <si>
    <t xml:space="preserve">Brand launch</t>
  </si>
  <si>
    <t xml:space="preserve">March 16, 2021 (CenterWell Senior Primary Care first). Pharmacy rebranded Jun 2022 (CenterWell Pharmacy / CenterWell Specialty Pharmacy); Kindred at Home's home health division became CenterWell Home Health during 2022.</t>
  </si>
  <si>
    <t xml:space="preserve">Brand positioning / 'motto'</t>
  </si>
  <si>
    <t xml:space="preserve">Official brand statement: care experiences that put patients at the center. Humana's corporate purpose: 'putting health first'. No separate trademarked CenterWell slogan found in filings.</t>
  </si>
  <si>
    <t xml:space="preserve">Logo meaning</t>
  </si>
  <si>
    <t xml:space="preserve">Blossom with three petals = physical, emotional and social wellness (whole-person health).</t>
  </si>
  <si>
    <t xml:space="preserve">Humana CEO</t>
  </si>
  <si>
    <t xml:space="preserve">Jim Rechtin (President &amp; CEO)</t>
  </si>
  <si>
    <t xml:space="preserve">Business lines</t>
  </si>
  <si>
    <t xml:space="preserve">1) Pharmacy Solutions – CenterWell Pharmacy (mail order), CenterWell Specialty Pharmacy
2) Primary Care – CenterWell Senior Primary Care, Conviva, IPA business
3) Home Solutions – CenterWell Home Health</t>
  </si>
  <si>
    <t xml:space="preserve">FY2025 segment revenue</t>
  </si>
  <si>
    <t xml:space="preserve">FY2025 income from operations</t>
  </si>
  <si>
    <t xml:space="preserve">FY2026 revenue guidance</t>
  </si>
  <si>
    <t xml:space="preserve">At least $25 billion (affirmed Jul 29, 2026)</t>
  </si>
  <si>
    <t xml:space="preserve">FY2026 IFO guidance</t>
  </si>
  <si>
    <t xml:space="preserve">GAAP $1.3B–$1.8B; Adjusted (adds back D&amp;A) $1.5B–$2.0B</t>
  </si>
  <si>
    <t xml:space="preserve">Primary care footprint (Jun 30, 2026)</t>
  </si>
  <si>
    <t xml:space="preserve">398 centers · 1,478 primary care providers · ~622,000 patients</t>
  </si>
  <si>
    <t xml:space="preserve">Key recent deals</t>
  </si>
  <si>
    <t xml:space="preserve">Kindred at Home (full acquisition, Apr 2021); divested 60% of Gentiva Hospice (Aug 2022); The Villages Health (closed Nov 2025, ~32k patients, 8 centers); MaxHealth (Q1 2026).</t>
  </si>
  <si>
    <t xml:space="preserve">Key headwinds</t>
  </si>
  <si>
    <t xml:space="preserve">CMS v28 risk-model phase-in (2026 = final year) pressuring primary care margins; higher-cost-ratio specialty pharmacy mix; home health reimbursement pressure.</t>
  </si>
  <si>
    <t xml:space="preserve">CenterWell Segment Financials, FY2021 – FY2026</t>
  </si>
  <si>
    <t xml:space="preserve">Blue = reported inputs (Humana 10-K / earnings releases); black = formulas. Segment revenue includes intersegment sales to Humana Insurance.</t>
  </si>
  <si>
    <t xml:space="preserve">Metric ($mm)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</si>
  <si>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</si>
  <si>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</si>
  <si>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</si>
  <si>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</si>
  <si>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</si>
  <si>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1H 2025</t>
  </si>
  <si>
    <t xml:space="preserve">1H 2026</t>
  </si>
  <si>
    <t xml:space="preserve">FY2026 Guide (low)</t>
  </si>
  <si>
    <t xml:space="preserve">Total segment revenue</t>
  </si>
  <si>
    <t xml:space="preserve">  of which: external services revenue</t>
  </si>
  <si>
    <t xml:space="preserve">n/a</t>
  </si>
  <si>
    <t xml:space="preserve">  of which: intersegment (from Humana)</t>
  </si>
  <si>
    <t xml:space="preserve">Income from operations (GAAP)</t>
  </si>
  <si>
    <t xml:space="preserve">Depreciation &amp; amortization</t>
  </si>
  <si>
    <t xml:space="preserve">Operating cost ratio (reported)</t>
  </si>
  <si>
    <t xml:space="preserve">Total operating spend (Revenue − IFO)</t>
  </si>
  <si>
    <t xml:space="preserve">Adjusted IFO (IFO + D&amp;A)</t>
  </si>
  <si>
    <t xml:space="preserve">Operating margin (IFO ÷ Revenue)</t>
  </si>
  <si>
    <t xml:space="preserve">Adjusted (EBITDA-style) margin</t>
  </si>
  <si>
    <t xml:space="preserve">Intersegment dependence (% of rev from Humana)</t>
  </si>
  <si>
    <t xml:space="preserve">Revenue YoY growth</t>
  </si>
  <si>
    <t xml:space="preserve">IFO YoY growth</t>
  </si>
  <si>
    <t xml:space="preserve">Notes:</t>
  </si>
  <si>
    <t xml:space="preserve">• FY2026 Guide column = low end of guidance (revenue 'at least $25B'; GAAP IFO $1.3B–$1.8B). YoY for guide column is vs FY2025. 1H 2026 YoY is vs 1H 2025.</t>
  </si>
  <si>
    <t xml:space="preserve">• FY2021 external services revenue derived as total less intersegment. FY2023 operating cost ratio not captured in sources reviewed (n/a).</t>
  </si>
  <si>
    <t xml:space="preserve">• Operating cost ratio as reported by Humana excludes D&amp;A. 'Operating spend' = revenue minus GAAP IFO (includes D&amp;A).</t>
  </si>
  <si>
    <t xml:space="preserve">• CenterWell is a segment, not a standalone filer: no segment-level net income, tax or interest is disclosed; operating margin is the best profit measure.</t>
  </si>
  <si>
    <t xml:space="preserve">• FY2022 services jump reflects full-year Kindred at Home consolidation; FY2023 dip reflects Gentiva Hospice divestiture (Aug 2022).</t>
  </si>
  <si>
    <t xml:space="preserve">Revenue by Business Line (incl. intersegment)</t>
  </si>
  <si>
    <t xml:space="preserve">Source: Humana statistical supplements (S-12). $ in millions.</t>
  </si>
  <si>
    <t xml:space="preserve">Business line</t>
  </si>
  <si>
    <t xml:space="preserve">YoY %</t>
  </si>
  <si>
    <t xml:space="preserve">FY2025 mix %</t>
  </si>
  <si>
    <t xml:space="preserve">Pharmacy Solutions</t>
  </si>
  <si>
    <t xml:space="preserve">Primary Care</t>
  </si>
  <si>
    <t xml:space="preserve">Home Solutions</t>
  </si>
  <si>
    <t xml:space="preserve">Total</t>
  </si>
  <si>
    <t xml:space="preserve">External (non-Humana) services revenue by line</t>
  </si>
  <si>
    <t xml:space="preserve">FY24→25 %</t>
  </si>
  <si>
    <t xml:space="preserve">Total external</t>
  </si>
  <si>
    <t xml:space="preserve">Takeaway: primary care external revenue grew ~76% in FY2025 (acquisitions + payer-agnostic growth) — the fastest-growing book of non-Humana payer relationships.</t>
  </si>
  <si>
    <t xml:space="preserve">Spend Profile</t>
  </si>
  <si>
    <t xml:space="preserve">Segment-level costs from Humana consolidating statements; capex &amp; M&amp;A are consolidated Humana figures (not split by segment).</t>
  </si>
  <si>
    <t xml:space="preserve">Item ($mm)</t>
  </si>
  <si>
    <t xml:space="preserve">Scope</t>
  </si>
  <si>
    <t xml:space="preserve">CenterWell operating costs (excl. D&amp;A)</t>
  </si>
  <si>
    <t xml:space="preserve">Segment</t>
  </si>
  <si>
    <t xml:space="preserve">CenterWell depreciation &amp; amortization</t>
  </si>
  <si>
    <t xml:space="preserve">CenterWell amortization of intangibles</t>
  </si>
  <si>
    <t xml:space="preserve">Humana purchases of property &amp; equipment (capex)</t>
  </si>
  <si>
    <t xml:space="preserve">Consolidated</t>
  </si>
  <si>
    <t xml:space="preserve">Humana acquisitions, net of cash acquired</t>
  </si>
  <si>
    <t xml:space="preserve">Consolidated (1H26 incl. MaxHealth)</t>
  </si>
  <si>
    <t xml:space="preserve">CenterWell total operating expenses</t>
  </si>
  <si>
    <t xml:space="preserve">Op. costs as % of segment revenue</t>
  </si>
  <si>
    <t xml:space="preserve">Ties to reported operating cost ratio</t>
  </si>
  <si>
    <t xml:space="preserve">FY2026 consolidated capex guidance: ~ $650mm. Spend by vendor/category is not publicly disclosed.</t>
  </si>
  <si>
    <t xml:space="preserve">Why it matters: ~93% of every revenue dollar is consumed by operating cost — each 10 bps of cost-ratio improvement ≈ $22mm of FY2025 operating income.</t>
  </si>
  <si>
    <t xml:space="preserve">Operating Metrics</t>
  </si>
  <si>
    <t xml:space="preserve">Source: Humana 4Q25 and 2Q26 statistical supplements.</t>
  </si>
  <si>
    <t xml:space="preserve">Primary care</t>
  </si>
  <si>
    <t xml:space="preserve">Dec 31, 2024</t>
  </si>
  <si>
    <t xml:space="preserve">Dec 31, 2025</t>
  </si>
  <si>
    <t xml:space="preserve">Jun 30, 2026</t>
  </si>
  <si>
    <t xml:space="preserve">Growth Dec24→Jun26</t>
  </si>
  <si>
    <t xml:space="preserve">Centers</t>
  </si>
  <si>
    <t xml:space="preserve">Primary care providers</t>
  </si>
  <si>
    <t xml:space="preserve">Patients served – total</t>
  </si>
  <si>
    <t xml:space="preserve">  De novo (WCAS JV) patients</t>
  </si>
  <si>
    <t xml:space="preserve">  Wholly-owned patients</t>
  </si>
  <si>
    <t xml:space="preserve">  IPA patients</t>
  </si>
  <si>
    <t xml:space="preserve">Home solutions</t>
  </si>
  <si>
    <t xml:space="preserve">Episodic admissions (PDGM)</t>
  </si>
  <si>
    <t xml:space="preserve">Total admissions – same store</t>
  </si>
  <si>
    <t xml:space="preserve">Pharmacy (Total Medicare)</t>
  </si>
  <si>
    <t xml:space="preserve">Generic dispense rate</t>
  </si>
  <si>
    <t xml:space="preserve">Mail-order penetration</t>
  </si>
  <si>
    <t xml:space="preserve">Context: Humana individual Medicare Advantage membership ~6.45mm at Jun 30, 2026 (up ~23% YoY) — the main feeder of CenterWell intersegment volume.</t>
  </si>
  <si>
    <t xml:space="preserve">Sample of CenterWell-Affiliated Organizational NPIs (Type 2)</t>
  </si>
  <si>
    <t xml:space="preserve">CenterWell holds HUNDREDS of NPIs (one per pharmacy, home health branch, clinic subpart). This is a verified sample; pull the full list from the CMS NPPES registry (search org name 'CENTERWELL').</t>
  </si>
  <si>
    <t xml:space="preserve">NPI</t>
  </si>
  <si>
    <t xml:space="preserve">Legal business name</t>
  </si>
  <si>
    <t xml:space="preserve">Practice city/state</t>
  </si>
  <si>
    <t xml:space="preserve">Taxonomy (primary)</t>
  </si>
  <si>
    <t xml:space="preserve">Enumerated</t>
  </si>
  <si>
    <t xml:space="preserve">Notes</t>
  </si>
  <si>
    <t xml:space="preserve">1235154725</t>
  </si>
  <si>
    <t xml:space="preserve">CENTERWELL PHARMACY, INC.</t>
  </si>
  <si>
    <t xml:space="preserve">Pharmacy</t>
  </si>
  <si>
    <t xml:space="preserve">West Palm Beach, FL</t>
  </si>
  <si>
    <t xml:space="preserve">3336C0003X Community/Retail Pharmacy</t>
  </si>
  <si>
    <t xml:space="preserve">2006-07-13</t>
  </si>
  <si>
    <t xml:space="preserve">DBA Humana Pharmacy, Inc.</t>
  </si>
  <si>
    <t xml:space="preserve">1215339122</t>
  </si>
  <si>
    <t xml:space="preserve">Miami, FL</t>
  </si>
  <si>
    <t xml:space="preserve">2014-09-23</t>
  </si>
  <si>
    <t xml:space="preserve">DBA PrescribeIt Rx – Kendall</t>
  </si>
  <si>
    <t xml:space="preserve">1013468404</t>
  </si>
  <si>
    <t xml:space="preserve">Anderson, SC</t>
  </si>
  <si>
    <t xml:space="preserve">2016-10-20</t>
  </si>
  <si>
    <t xml:space="preserve">Formerly Humana Pharmacy, Inc.</t>
  </si>
  <si>
    <t xml:space="preserve">1013648195</t>
  </si>
  <si>
    <t xml:space="preserve">Tampa, FL</t>
  </si>
  <si>
    <t xml:space="preserve">2022-06-21</t>
  </si>
  <si>
    <t xml:space="preserve">1063381366</t>
  </si>
  <si>
    <t xml:space="preserve">West Chester, OH</t>
  </si>
  <si>
    <t xml:space="preserve">3336M0003X Managed Care Org Pharmacy</t>
  </si>
  <si>
    <t xml:space="preserve">2025-11-04</t>
  </si>
  <si>
    <t xml:space="preserve">1306899307</t>
  </si>
  <si>
    <t xml:space="preserve">CENTERWELL SENIOR PRIMARY CARE (FL) INC.</t>
  </si>
  <si>
    <t xml:space="preserve">Altamonte Springs, FL</t>
  </si>
  <si>
    <t xml:space="preserve">Family/Internal Med/General Practice</t>
  </si>
  <si>
    <t xml:space="preserve">2006-05-18</t>
  </si>
  <si>
    <t xml:space="preserve">Org subpart</t>
  </si>
  <si>
    <t xml:space="preserve">1801002183</t>
  </si>
  <si>
    <t xml:space="preserve">Longwood, FL</t>
  </si>
  <si>
    <t xml:space="preserve">2007-05-15</t>
  </si>
  <si>
    <t xml:space="preserve">1508891680</t>
  </si>
  <si>
    <t xml:space="preserve">The Villages, FL</t>
  </si>
  <si>
    <t xml:space="preserve">2006-07-11</t>
  </si>
  <si>
    <t xml:space="preserve">1912935008</t>
  </si>
  <si>
    <t xml:space="preserve">Orlando, FL</t>
  </si>
  <si>
    <t xml:space="preserve">2006-06-29</t>
  </si>
  <si>
    <t xml:space="preserve">1346293636</t>
  </si>
  <si>
    <t xml:space="preserve">Clermont, FL</t>
  </si>
  <si>
    <t xml:space="preserve">1194778100</t>
  </si>
  <si>
    <t xml:space="preserve">Casselberry, FL</t>
  </si>
  <si>
    <t xml:space="preserve">2006-05-19</t>
  </si>
  <si>
    <t xml:space="preserve">1487680252</t>
  </si>
  <si>
    <t xml:space="preserve">Saint Cloud, FL</t>
  </si>
  <si>
    <t xml:space="preserve">2006-06-24</t>
  </si>
  <si>
    <t xml:space="preserve">1003643214</t>
  </si>
  <si>
    <t xml:space="preserve">CENTERWELL SENIOR PRIMARY CARE FL JV PLLC</t>
  </si>
  <si>
    <t xml:space="preserve">Primary Care (WCAS JV)</t>
  </si>
  <si>
    <t xml:space="preserve">Jacksonville, FL</t>
  </si>
  <si>
    <t xml:space="preserve">207R00000X Internal Medicine</t>
  </si>
  <si>
    <t xml:space="preserve">2024-09-19</t>
  </si>
  <si>
    <t xml:space="preserve">Other name: Conviva Philips Highway</t>
  </si>
  <si>
    <t xml:space="preserve">1609603919</t>
  </si>
  <si>
    <t xml:space="preserve">Winter Garden, FL</t>
  </si>
  <si>
    <t xml:space="preserve">1306876438</t>
  </si>
  <si>
    <t xml:space="preserve">CENTERWELL CERTIFIED HEALTHCARE CORP.</t>
  </si>
  <si>
    <t xml:space="preserve">Home Health</t>
  </si>
  <si>
    <t xml:space="preserve">Grand Rapids, MI</t>
  </si>
  <si>
    <t xml:space="preserve">Mailing: Overland Park, KS</t>
  </si>
  <si>
    <t xml:space="preserve">1558398479</t>
  </si>
  <si>
    <t xml:space="preserve">Lincoln, NE</t>
  </si>
  <si>
    <t xml:space="preserve">1225064934</t>
  </si>
  <si>
    <t xml:space="preserve">Racine, WI</t>
  </si>
  <si>
    <t xml:space="preserve">1548292717</t>
  </si>
  <si>
    <t xml:space="preserve">Muncie, IN</t>
  </si>
  <si>
    <t xml:space="preserve">Home-health taxonomy shown generically; verify exact codes in NPPES. Other CenterWell entities to search: CenterWell Specialty Pharmacy, Conviva Care Centers, CenterWell Home Health (state LLCs), The Villages Health, MaxHealth.</t>
  </si>
  <si>
    <t xml:space="preserve">How a Payment Integrity Vendor Can Help CenterWell Grow</t>
  </si>
  <si>
    <t xml:space="preserve">CenterWell is a PROVIDER that increasingly carries payer-like risk. Position PI as margin expansion + revenue protection, not just recovery.</t>
  </si>
  <si>
    <t xml:space="preserve">#</t>
  </si>
  <si>
    <t xml:space="preserve">Opportunity</t>
  </si>
  <si>
    <t xml:space="preserve">CenterWell pain point (evidence)</t>
  </si>
  <si>
    <t xml:space="preserve">What we deliver</t>
  </si>
  <si>
    <t xml:space="preserve">KPI to promise</t>
  </si>
  <si>
    <t xml:space="preserve">Downstream claims PI under full-risk capitation</t>
  </si>
  <si>
    <t xml:space="preserve">~64% of Humana individual MA members are in value-based arrangements; CenterWell primary care often takes total-cost-of-care risk for ~622k patients — overpaid specialist/hospital/ancillary claims hit its cost ratio directly.</t>
  </si>
  <si>
    <t xml:space="preserve">Pre-pay clinical &amp; coding edits, DRG validation, duplicate/COB checks on claims paid against CenterWell risk pools; post-pay recovery.</t>
  </si>
  <si>
    <t xml:space="preserve">Medical cost savings as % of downstream spend; cost-ratio bps</t>
  </si>
  <si>
    <t xml:space="preserve">Risk adjustment accuracy (v28 + RADV readiness)</t>
  </si>
  <si>
    <t xml:space="preserve">Humana cites the v28 risk-model phase-in as the main driver of CenterWell's rising cost ratio (93.1% FY25). RADV extrapolation risk is a stated company risk factor.</t>
  </si>
  <si>
    <t xml:space="preserve">Two-way HCC chart validation (capture supported gaps, remove unsupported codes), RADV mock audits, provider documentation feedback.</t>
  </si>
  <si>
    <t xml:space="preserve">RAF accuracy rate; RADV error rate; revenue protected</t>
  </si>
  <si>
    <t xml:space="preserve">Payer-agnostic underpayment &amp; contract compliance</t>
  </si>
  <si>
    <t xml:space="preserve">External primary care revenue +76% in FY25 ($2.2B) as CenterWell signs non-Humana MA plans and acquires groups (Villages Health, MaxHealth).</t>
  </si>
  <si>
    <t xml:space="preserve">Contract modeling vs. remits, capitation/shared-savings reconciliation audits with third-party payers, denial overturns.</t>
  </si>
  <si>
    <t xml:space="preserve">$ underpayments recovered; days to reconcile; denial overturn %</t>
  </si>
  <si>
    <t xml:space="preserve">Primary Care / Home</t>
  </si>
  <si>
    <t xml:space="preserve">Home health billing integrity (PDGM / OASIS)</t>
  </si>
  <si>
    <t xml:space="preserve">Episodic admissions fell 2% in FY25 while reimbursement pressure persists; Medicare home health faces ADR, TPE and Review Choice Demonstration audits.</t>
  </si>
  <si>
    <t xml:space="preserve">Pre-bill OASIS/PDGM coding QA, LUPA &amp; period-split checks, audit-defense packaging, denial management.</t>
  </si>
  <si>
    <t xml:space="preserve">Pre-bill accuracy %; ADR denial rate; DSO</t>
  </si>
  <si>
    <t xml:space="preserve">Specialty pharmacy reimbursement &amp; audit defense</t>
  </si>
  <si>
    <t xml:space="preserve">Specialty volume growth carries a higher cost ratio than traditional pharmacy (cited in FY25 10-K); $13B pharmacy book.</t>
  </si>
  <si>
    <t xml:space="preserve">PBM/payer audit defense, NDC-unit &amp; days-supply validation, claim-to-remit reconciliation, manufacturer program reconciliation.</t>
  </si>
  <si>
    <t xml:space="preserve">Audit recoupments avoided; net margin per Rx</t>
  </si>
  <si>
    <t xml:space="preserve">M&amp;A integration billing audits</t>
  </si>
  <si>
    <t xml:space="preserve">1H26 acquisitions spend ~$930mm (incl. MaxHealth); 2025 Villages Health deal added ~32k patients.</t>
  </si>
  <si>
    <t xml:space="preserve">Day-1 billing/coding baseline audits of acquired practices, compliance remediation, revenue-cycle harmonization.</t>
  </si>
  <si>
    <t xml:space="preserve">Time-to-standard; post-close compliance findings</t>
  </si>
  <si>
    <t xml:space="preserve">Illustrative Value Sizing (edit yellow cells)</t>
  </si>
  <si>
    <t xml:space="preserve">Driver</t>
  </si>
  <si>
    <t xml:space="preserve">Value</t>
  </si>
  <si>
    <t xml:space="preserve">Basis / note</t>
  </si>
  <si>
    <t xml:space="preserve">FY2025 CenterWell segment revenue ($mm)</t>
  </si>
  <si>
    <t xml:space="preserve">Linked to Financials tab</t>
  </si>
  <si>
    <t xml:space="preserve">FY2025 primary care revenue ($mm)</t>
  </si>
  <si>
    <t xml:space="preserve">Linked</t>
  </si>
  <si>
    <t xml:space="preserve">Assumed share of primary care revenue spent on downstream medical claims</t>
  </si>
  <si>
    <t xml:space="preserve">ASSUMPTION – validate in discovery</t>
  </si>
  <si>
    <t xml:space="preserve">Assumed PI savings rate on downstream claims</t>
  </si>
  <si>
    <t xml:space="preserve">ASSUMPTION – typical PI programs 0.5%–2%</t>
  </si>
  <si>
    <t xml:space="preserve">Downstream claim savings ($mm)</t>
  </si>
  <si>
    <t xml:space="preserve">Formula</t>
  </si>
  <si>
    <t xml:space="preserve">FY2025 home solutions revenue ($mm)</t>
  </si>
  <si>
    <t xml:space="preserve">Assumed home-health denial/leakage avoided (% of revenue)</t>
  </si>
  <si>
    <t xml:space="preserve">ASSUMPTION</t>
  </si>
  <si>
    <t xml:space="preserve">Home health revenue protected ($mm)</t>
  </si>
  <si>
    <t xml:space="preserve">External services revenue FY2025 ($mm)</t>
  </si>
  <si>
    <t xml:space="preserve">Assumed underpayment recovery (% of external revenue)</t>
  </si>
  <si>
    <t xml:space="preserve">Underpayments recovered ($mm)</t>
  </si>
  <si>
    <t xml:space="preserve">TOTAL illustrative annual value ($mm)</t>
  </si>
  <si>
    <t xml:space="preserve">Implied operating-cost-ratio improvement (bps)</t>
  </si>
  <si>
    <t xml:space="preserve">Total value ÷ segment revenue</t>
  </si>
  <si>
    <t xml:space="preserve">Implied lift to FY2025 IFO</t>
  </si>
  <si>
    <t xml:space="preserve">vs $1,339mm GAAP IFO</t>
  </si>
  <si>
    <t xml:space="preserve">Pitch line: 'Every 10 bps off CenterWell's ~93% operating cost ratio is worth ~$22mm of operating income — we target that with downstream claims PI, risk-adjustment accuracy and revenue-cycle recovery.'</t>
  </si>
  <si>
    <t xml:space="preserve">Assumptions in yellow are illustrative placeholders, not CenterWell disclosures. Replace with discovery data before sharing externally.</t>
  </si>
  <si>
    <t xml:space="preserve">Data Ask to CenterWell &amp; Growth Analytics (beyond payment integrity)</t>
  </si>
  <si>
    <t xml:space="preserve">Ask CenterWell for data on ITS OWN patients. Data on Humana plan members who are not CenterWell patients belongs to Humana Insurance and needs a separate agreement with Humana.</t>
  </si>
  <si>
    <t xml:space="preserve">Data to request</t>
  </si>
  <si>
    <t xml:space="preserve">Example fields</t>
  </si>
  <si>
    <t xml:space="preserve">What we do with it</t>
  </si>
  <si>
    <t xml:space="preserve">Simple example</t>
  </si>
  <si>
    <t xml:space="preserve">Growth use</t>
  </si>
  <si>
    <t xml:space="preserve">1. Patient &amp; plan mix</t>
  </si>
  <si>
    <t xml:space="preserve">Payer, plan type (HMO/PPO/D-SNP), age band, county/ZIP, center, attribution date, disenrollment date</t>
  </si>
  <si>
    <t xml:space="preserve">Profile who CenterWell serves and through which plans; spot payer concentration and churn</t>
  </si>
  <si>
    <t xml:space="preserve">78% of patients at a Tampa center are on Humana HMO; D-SNP patients leave twice as often as others</t>
  </si>
  <si>
    <t xml:space="preserve">Target non-Humana MA plans for new contracts; build retention outreach for high-churn groups</t>
  </si>
  <si>
    <t xml:space="preserve">2. Value-based care metrics</t>
  </si>
  <si>
    <t xml:space="preserve">PMPM cost, MLR, admits &amp; ED visits per 1,000, 30-day readmissions, care-gap / HEDIS &amp; Star measures, shared-savings results by contract</t>
  </si>
  <si>
    <t xml:space="preserve">Benchmark each center and contract; find where cost or quality is drifting</t>
  </si>
  <si>
    <t xml:space="preserve">Center A's ED visits are 40% above peers, mostly weekend visits for non-urgent issues</t>
  </si>
  <si>
    <t xml:space="preserve">Fund weekend urgent slots; use strong quality results to win better contract terms</t>
  </si>
  <si>
    <t xml:space="preserve">3. RAF &amp; risk scores</t>
  </si>
  <si>
    <t xml:space="preserve">Patient RAF (v24 vs v28), HCCs captured vs suspected, recapture rate, chart-review outcomes</t>
  </si>
  <si>
    <t xml:space="preserve">Find missed or unsupported diagnoses; measure v28 impact by center and doctor</t>
  </si>
  <si>
    <t xml:space="preserve">Recapture of chronic conditions is 62% at one clinic vs 85% network-wide</t>
  </si>
  <si>
    <t xml:space="preserve">Fix documentation gaps; protect revenue that funds expansion</t>
  </si>
  <si>
    <t xml:space="preserve">4. Claims &amp; payments (from earlier)</t>
  </si>
  <si>
    <t xml:space="preserve">837/835 files, allowed vs paid, provider NPI, DRG, CPT/HCPCS, dates of service</t>
  </si>
  <si>
    <t xml:space="preserve">Payment checks, contract compliance, overpayment &amp; underpayment recovery</t>
  </si>
  <si>
    <t xml:space="preserve">Same MRI paid twice; Plan X paying $135 instead of contracted $150</t>
  </si>
  <si>
    <t xml:space="preserve">Savings and recoveries improve the cost ratio and free up cash</t>
  </si>
  <si>
    <t xml:space="preserve">How this supports CenterWell expansion</t>
  </si>
  <si>
    <t xml:space="preserve">Proposal</t>
  </si>
  <si>
    <t xml:space="preserve">How data drives it</t>
  </si>
  <si>
    <t xml:space="preserve">Where to open next centers</t>
  </si>
  <si>
    <t xml:space="preserve">Overlay CenterWell patient ZIPs with public CMS county-level Medicare Advantage enrollment to find dense, underserved areas</t>
  </si>
  <si>
    <t xml:space="preserve">3 ZIP codes have 12,000 MA seniors and no CenterWell clinic within 10 miles</t>
  </si>
  <si>
    <t xml:space="preserve">Which plans to partner with</t>
  </si>
  <si>
    <t xml:space="preserve">Compare outcomes and margin by payer to rank non-Humana plans worth contracting</t>
  </si>
  <si>
    <t xml:space="preserve">Plan Y patients are healthier-coded correctly and profitable; pursue a risk contract</t>
  </si>
  <si>
    <t xml:space="preserve">Patient retention</t>
  </si>
  <si>
    <t xml:space="preserve">Predict which patients may leave based on visits, gaps and plan changes</t>
  </si>
  <si>
    <t xml:space="preserve">Flag 900 patients with no visit in 6 months for a care-team call</t>
  </si>
  <si>
    <t xml:space="preserve">Doctor / center performance</t>
  </si>
  <si>
    <t xml:space="preserve">Rank centers on cost, quality and RAF accuracy</t>
  </si>
  <si>
    <t xml:space="preserve">Share best-practice playbook from top-quartile centers</t>
  </si>
  <si>
    <t xml:space="preserve">Compliance guardrails</t>
  </si>
  <si>
    <t xml:space="preserve">• Signed BAA and data-use agreement listing each purpose (payment integrity, analytics, network planning).</t>
  </si>
  <si>
    <t xml:space="preserve">• Use de-identified or aggregated data for expansion and planning analysis wherever possible.</t>
  </si>
  <si>
    <t xml:space="preserve">• Do NOT use patient-level data for marketing or 'member attraction' outreach: HIPAA marketing rules generally require patient authorization, and CMS Medicare Advantage marketing rules also apply.</t>
  </si>
  <si>
    <t xml:space="preserve">• Frame growth work as network planning and care-access analysis for CenterWell, not as recruiting members for specific plans.</t>
  </si>
  <si>
    <t xml:space="preserve">• Have CenterWell's privacy/compliance team approve the data request before it is sent.</t>
  </si>
  <si>
    <t xml:space="preserve">Sources</t>
  </si>
  <si>
    <t xml:space="preserve">All financial data from Humana Inc. public filings; NPI data from public NPPES mirrors.</t>
  </si>
  <si>
    <t xml:space="preserve">Data</t>
  </si>
  <si>
    <t xml:space="preserve">Source</t>
  </si>
  <si>
    <t xml:space="preserve">URL</t>
  </si>
  <si>
    <t xml:space="preserve">FY2025 &amp; FY2024 segment results, revenue by line, spend, metrics</t>
  </si>
  <si>
    <t xml:space="preserve">Humana 4Q25 earnings release (Feb 11, 2026)</t>
  </si>
  <si>
    <t xml:space="preserve">https://humana.gcs-web.com/static-files/5e60f4bf-c568-4ad2-8181-19db72780d71</t>
  </si>
  <si>
    <t xml:space="preserve">1H2026 results, FY2026 guidance, Jun-2026 metrics</t>
  </si>
  <si>
    <t xml:space="preserve">Humana 2Q26 earnings release, Form 8-K Ex. 99.2 (Jul 29, 2026)</t>
  </si>
  <si>
    <t xml:space="preserve">https://www.sec.gov/Archives/edgar/data/0000049071/000004907126000045/hum-2026q2xex99x2detailedx.htm</t>
  </si>
  <si>
    <t xml:space="preserve">FY2025 external services by line, cost-ratio drivers</t>
  </si>
  <si>
    <t xml:space="preserve">Humana Form 10-K FY2025</t>
  </si>
  <si>
    <t xml:space="preserve">https://www.sec.gov/Archives/edgar/data/49071/000004907126000009/hum-20251231.htm</t>
  </si>
  <si>
    <t xml:space="preserve">FY2023 &amp; FY2022 segment results</t>
  </si>
  <si>
    <t xml:space="preserve">Humana Form 10-K FY2023</t>
  </si>
  <si>
    <t xml:space="preserve">https://www.sec.gov/Archives/edgar/data/49071/000004907124000012/hum-20231231.htm</t>
  </si>
  <si>
    <t xml:space="preserve">FY2022 &amp; FY2021 segment results</t>
  </si>
  <si>
    <t xml:space="preserve">Humana Annual Report FY2022</t>
  </si>
  <si>
    <t xml:space="preserve">https://www.sec.gov/Archives/edgar/data/49071/000119312523063816/d448361dars.pdf</t>
  </si>
  <si>
    <t xml:space="preserve">Brand launch, logo meaning</t>
  </si>
  <si>
    <t xml:space="preserve">Humana press release, Mar 16, 2021</t>
  </si>
  <si>
    <t xml:space="preserve">https://humana.gcs-web.com/node/33566</t>
  </si>
  <si>
    <t xml:space="preserve">Brand statement; home health &amp; pharmacy rebrand</t>
  </si>
  <si>
    <t xml:space="preserve">Business Wire, Sep 1, 2022</t>
  </si>
  <si>
    <t xml:space="preserve">https://www.businesswire.com/news/home/20220901005209/en</t>
  </si>
  <si>
    <t xml:space="preserve">NPI records</t>
  </si>
  <si>
    <t xml:space="preserve">NPPES mirrors: npiviewer.com, npiprofile.com, npiindex.com, stedi.com</t>
  </si>
  <si>
    <t xml:space="preserve">https://npiregistry.cms.hhs.gov/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</si>
</sst>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%"/>
    <numFmt numFmtId="168" formatCode="#,##0;\(#,##0\);\-"/>
    <numFmt numFmtId="169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i val="true"/>
      <sz val="10"/>
      <color rgb="FF0E7C7B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1F2"/>
        <bgColor rgb="FFF9F9F9"/>
      </patternFill>
    </fill>
    <fill>
      <patternFill patternType="solid">
        <fgColor rgb="FF0E7C7B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FBFBF"/>
      <rgbColor rgb="FF878787"/>
      <rgbColor rgb="FF9999FF"/>
      <rgbColor rgb="FFBE4B48"/>
      <rgbColor rgb="FFF9F9F9"/>
      <rgbColor rgb="FFE8F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Segment Revenue ($mm), FY21–FY25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Financials!$B$4:$F$4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Financials!$B$5:$F$5</c:f>
              <c:numCache>
                <c:formatCode>\$#,##0;"($"#,##0\);\-</c:formatCode>
                <c:ptCount val="5"/>
                <c:pt idx="0">
                  <c:v>14054</c:v>
                </c:pt>
                <c:pt idx="1">
                  <c:v>17299</c:v>
                </c:pt>
                <c:pt idx="2">
                  <c:v>18405</c:v>
                </c:pt>
                <c:pt idx="3">
                  <c:v>19936</c:v>
                </c:pt>
                <c:pt idx="4">
                  <c:v>22473</c:v>
                </c:pt>
              </c:numCache>
            </c:numRef>
          </c:val>
        </c:ser>
        <c:gapWidth val="150"/>
        <c:overlap val="0"/>
        <c:axId val="3765606"/>
        <c:axId val="65419475"/>
      </c:barChart>
      <c:catAx>
        <c:axId val="37656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19475"/>
        <c:crosses val="autoZero"/>
        <c:auto val="1"/>
        <c:lblAlgn val="ctr"/>
        <c:lblOffset val="100"/>
        <c:noMultiLvlLbl val="0"/>
      </c:catAx>
      <c:valAx>
        <c:axId val="65419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5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Margin, FY21–FY25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Financials!$B$4:$F$4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Financials!$B$13:$F$13</c:f>
              <c:numCache>
                <c:formatCode>0.0%;\(0.0%\);\-</c:formatCode>
                <c:ptCount val="5"/>
                <c:pt idx="0">
                  <c:v>0.0667425643944784</c:v>
                </c:pt>
                <c:pt idx="1">
                  <c:v>0.074628591248049</c:v>
                </c:pt>
                <c:pt idx="2">
                  <c:v>0.0762836185819071</c:v>
                </c:pt>
                <c:pt idx="3">
                  <c:v>0.0666633226324238</c:v>
                </c:pt>
                <c:pt idx="4">
                  <c:v>0.0595826102434032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273560"/>
        <c:axId val="55859146"/>
      </c:lineChart>
      <c:catAx>
        <c:axId val="78273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59146"/>
        <c:crosses val="autoZero"/>
        <c:auto val="1"/>
        <c:lblAlgn val="ctr"/>
        <c:lblOffset val="100"/>
        <c:noMultiLvlLbl val="0"/>
      </c:catAx>
      <c:valAx>
        <c:axId val="55859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73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line: FY24 vs FY25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'Revenue by Line'!B4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Line'!$A$5:$A$7</c:f>
              <c:strCache>
                <c:ptCount val="3"/>
                <c:pt idx="0">
                  <c:v>Pharmacy Solutions</c:v>
                </c:pt>
                <c:pt idx="1">
                  <c:v>Primary Care</c:v>
                </c:pt>
                <c:pt idx="2">
                  <c:v>Home Solutions</c:v>
                </c:pt>
              </c:strCache>
            </c:strRef>
          </c:cat>
          <c:val>
            <c:numRef>
              <c:f>'Revenue by Line'!$B$5:$B$7</c:f>
              <c:numCache>
                <c:formatCode>\$#,##0;"($"#,##0\);\-</c:formatCode>
                <c:ptCount val="3"/>
                <c:pt idx="0">
                  <c:v>11628</c:v>
                </c:pt>
                <c:pt idx="1">
                  <c:v>4945</c:v>
                </c:pt>
                <c:pt idx="2">
                  <c:v>3363</c:v>
                </c:pt>
              </c:numCache>
            </c:numRef>
          </c:val>
        </c:ser>
        <c:ser>
          <c:idx val="1"/>
          <c:order val="1"/>
          <c:tx>
            <c:strRef>
              <c:f>'Revenue by Line'!C4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Line'!$A$5:$A$7</c:f>
              <c:strCache>
                <c:ptCount val="3"/>
                <c:pt idx="0">
                  <c:v>Pharmacy Solutions</c:v>
                </c:pt>
                <c:pt idx="1">
                  <c:v>Primary Care</c:v>
                </c:pt>
                <c:pt idx="2">
                  <c:v>Home Solutions</c:v>
                </c:pt>
              </c:strCache>
            </c:strRef>
          </c:cat>
          <c:val>
            <c:numRef>
              <c:f>'Revenue by Line'!$C$5:$C$7</c:f>
              <c:numCache>
                <c:formatCode>\$#,##0;"($"#,##0\);\-</c:formatCode>
                <c:ptCount val="3"/>
                <c:pt idx="0">
                  <c:v>12959</c:v>
                </c:pt>
                <c:pt idx="1">
                  <c:v>5986</c:v>
                </c:pt>
                <c:pt idx="2">
                  <c:v>3528</c:v>
                </c:pt>
              </c:numCache>
            </c:numRef>
          </c:val>
        </c:ser>
        <c:gapWidth val="150"/>
        <c:overlap val="0"/>
        <c:axId val="76818042"/>
        <c:axId val="80575477"/>
      </c:barChart>
      <c:catAx>
        <c:axId val="76818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75477"/>
        <c:crosses val="autoZero"/>
        <c:auto val="1"/>
        <c:lblAlgn val="ctr"/>
        <c:lblOffset val="100"/>
        <c:noMultiLvlLbl val="0"/>
      </c:catAx>
      <c:valAx>
        <c:axId val="80575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180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18720</xdr:rowOff>
    </xdr:from>
    <xdr:to>
      <xdr:col>3</xdr:col>
      <xdr:colOff>324360</xdr:colOff>
      <xdr:row>40</xdr:row>
      <xdr:rowOff>50760</xdr:rowOff>
    </xdr:to>
    <xdr:graphicFrame>
      <xdr:nvGraphicFramePr>
        <xdr:cNvPr id="0" name="Chart 1"/>
        <xdr:cNvGraphicFramePr/>
      </xdr:nvGraphicFramePr>
      <xdr:xfrm>
        <a:off x="0" y="5133600"/>
        <a:ext cx="539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26</xdr:row>
      <xdr:rowOff>18720</xdr:rowOff>
    </xdr:from>
    <xdr:to>
      <xdr:col>11</xdr:col>
      <xdr:colOff>228960</xdr:colOff>
      <xdr:row>40</xdr:row>
      <xdr:rowOff>50760</xdr:rowOff>
    </xdr:to>
    <xdr:graphicFrame>
      <xdr:nvGraphicFramePr>
        <xdr:cNvPr id="1" name="Chart 2"/>
        <xdr:cNvGraphicFramePr/>
      </xdr:nvGraphicFramePr>
      <xdr:xfrm>
        <a:off x="7048440" y="5133600"/>
        <a:ext cx="539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4</xdr:col>
      <xdr:colOff>535680</xdr:colOff>
      <xdr:row>31</xdr:row>
      <xdr:rowOff>163080</xdr:rowOff>
    </xdr:to>
    <xdr:graphicFrame>
      <xdr:nvGraphicFramePr>
        <xdr:cNvPr id="2" name="Chart 1"/>
        <xdr:cNvGraphicFramePr/>
      </xdr:nvGraphicFramePr>
      <xdr:xfrm>
        <a:off x="0" y="342648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31.5" hidden="false" customHeight="true" outlineLevel="0" collapsed="false">
      <c r="A5" s="5" t="s">
        <v>4</v>
      </c>
      <c r="B5" s="6" t="s">
        <v>5</v>
      </c>
    </row>
    <row r="6" customFormat="false" ht="31.5" hidden="false" customHeight="true" outlineLevel="0" collapsed="false">
      <c r="A6" s="5" t="s">
        <v>6</v>
      </c>
      <c r="B6" s="6" t="s">
        <v>7</v>
      </c>
    </row>
    <row r="7" customFormat="false" ht="31.5" hidden="false" customHeight="true" outlineLevel="0" collapsed="false">
      <c r="A7" s="5" t="s">
        <v>8</v>
      </c>
      <c r="B7" s="6" t="s">
        <v>9</v>
      </c>
    </row>
    <row r="8" customFormat="false" ht="43.5" hidden="false" customHeight="true" outlineLevel="0" collapsed="false">
      <c r="A8" s="5" t="s">
        <v>10</v>
      </c>
      <c r="B8" s="6" t="s">
        <v>11</v>
      </c>
    </row>
    <row r="9" customFormat="false" ht="31.5" hidden="false" customHeight="true" outlineLevel="0" collapsed="false">
      <c r="A9" s="5" t="s">
        <v>12</v>
      </c>
      <c r="B9" s="6" t="s">
        <v>13</v>
      </c>
    </row>
    <row r="10" customFormat="false" ht="31.5" hidden="false" customHeight="true" outlineLevel="0" collapsed="false">
      <c r="A10" s="5" t="s">
        <v>14</v>
      </c>
      <c r="B10" s="6" t="s">
        <v>15</v>
      </c>
    </row>
    <row r="11" customFormat="false" ht="31.5" hidden="false" customHeight="true" outlineLevel="0" collapsed="false">
      <c r="A11" s="5" t="s">
        <v>16</v>
      </c>
      <c r="B11" s="6" t="s">
        <v>17</v>
      </c>
    </row>
    <row r="12" customFormat="false" ht="48" hidden="false" customHeight="true" outlineLevel="0" collapsed="false">
      <c r="A12" s="5" t="s">
        <v>18</v>
      </c>
      <c r="B12" s="6" t="s">
        <v>19</v>
      </c>
    </row>
    <row r="13" customFormat="false" ht="31.5" hidden="false" customHeight="true" outlineLevel="0" collapsed="false">
      <c r="A13" s="5" t="s">
        <v>20</v>
      </c>
      <c r="B13" s="7" t="n">
        <v>22473</v>
      </c>
    </row>
    <row r="14" customFormat="false" ht="31.5" hidden="false" customHeight="true" outlineLevel="0" collapsed="false">
      <c r="A14" s="5" t="s">
        <v>21</v>
      </c>
      <c r="B14" s="7" t="n">
        <v>1339</v>
      </c>
    </row>
    <row r="15" customFormat="false" ht="31.5" hidden="false" customHeight="true" outlineLevel="0" collapsed="false">
      <c r="A15" s="5" t="s">
        <v>22</v>
      </c>
      <c r="B15" s="6" t="s">
        <v>23</v>
      </c>
    </row>
    <row r="16" customFormat="false" ht="31.5" hidden="false" customHeight="true" outlineLevel="0" collapsed="false">
      <c r="A16" s="5" t="s">
        <v>24</v>
      </c>
      <c r="B16" s="6" t="s">
        <v>25</v>
      </c>
    </row>
    <row r="17" customFormat="false" ht="31.5" hidden="false" customHeight="true" outlineLevel="0" collapsed="false">
      <c r="A17" s="5" t="s">
        <v>26</v>
      </c>
      <c r="B17" s="6" t="s">
        <v>27</v>
      </c>
    </row>
    <row r="18" customFormat="false" ht="31.5" hidden="false" customHeight="true" outlineLevel="0" collapsed="false">
      <c r="A18" s="5" t="s">
        <v>28</v>
      </c>
      <c r="B18" s="6" t="s">
        <v>29</v>
      </c>
    </row>
    <row r="19" customFormat="false" ht="31.5" hidden="false" customHeight="true" outlineLevel="0" collapsed="false">
      <c r="A19" s="5" t="s">
        <v>30</v>
      </c>
      <c r="B19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9" min="2" style="1" width="14"/>
  </cols>
  <sheetData>
    <row r="1" customFormat="false" ht="19.5" hidden="false" customHeight="true" outlineLevel="0" collapsed="false">
      <c r="A1" s="2" t="s">
        <v>32</v>
      </c>
    </row>
    <row r="2" customFormat="false" ht="15" hidden="false" customHeight="true" outlineLevel="0" collapsed="false">
      <c r="A2" s="3" t="s">
        <v>33</v>
      </c>
    </row>
    <row r="4" customFormat="false" ht="23.25" hidden="false" customHeight="tru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</row>
    <row r="5" customFormat="false" ht="15" hidden="false" customHeight="true" outlineLevel="0" collapsed="false">
      <c r="A5" s="5" t="s">
        <v>43</v>
      </c>
      <c r="B5" s="8" t="n">
        <v>14054</v>
      </c>
      <c r="C5" s="8" t="n">
        <v>17299</v>
      </c>
      <c r="D5" s="8" t="n">
        <v>18405</v>
      </c>
      <c r="E5" s="8" t="n">
        <v>19936</v>
      </c>
      <c r="F5" s="8" t="n">
        <v>22473</v>
      </c>
      <c r="G5" s="8" t="n">
        <v>10632</v>
      </c>
      <c r="H5" s="8" t="n">
        <v>12890</v>
      </c>
      <c r="I5" s="8" t="n">
        <v>25000</v>
      </c>
    </row>
    <row r="6" customFormat="false" ht="15" hidden="false" customHeight="true" outlineLevel="0" collapsed="false">
      <c r="A6" s="9" t="s">
        <v>44</v>
      </c>
      <c r="B6" s="10" t="n">
        <f aca="false">B5-B7</f>
        <v>2202</v>
      </c>
      <c r="C6" s="8" t="n">
        <v>3926</v>
      </c>
      <c r="D6" s="8" t="n">
        <v>3033</v>
      </c>
      <c r="E6" s="8" t="n">
        <v>3465</v>
      </c>
      <c r="F6" s="8" t="n">
        <v>4816</v>
      </c>
      <c r="G6" s="8" t="n">
        <v>2276</v>
      </c>
      <c r="H6" s="8" t="n">
        <v>3009</v>
      </c>
      <c r="I6" s="8" t="s">
        <v>45</v>
      </c>
    </row>
    <row r="7" customFormat="false" ht="15" hidden="false" customHeight="true" outlineLevel="0" collapsed="false">
      <c r="A7" s="9" t="s">
        <v>46</v>
      </c>
      <c r="B7" s="8" t="n">
        <v>11852</v>
      </c>
      <c r="C7" s="8" t="n">
        <v>13373</v>
      </c>
      <c r="D7" s="8" t="n">
        <v>15372</v>
      </c>
      <c r="E7" s="8" t="n">
        <v>16471</v>
      </c>
      <c r="F7" s="8" t="n">
        <v>17657</v>
      </c>
      <c r="G7" s="8" t="n">
        <v>8356</v>
      </c>
      <c r="H7" s="8" t="n">
        <v>9881</v>
      </c>
      <c r="I7" s="8" t="s">
        <v>45</v>
      </c>
    </row>
    <row r="8" customFormat="false" ht="15" hidden="false" customHeight="true" outlineLevel="0" collapsed="false">
      <c r="A8" s="5" t="s">
        <v>47</v>
      </c>
      <c r="B8" s="11" t="n">
        <v>938</v>
      </c>
      <c r="C8" s="11" t="n">
        <v>1291</v>
      </c>
      <c r="D8" s="11" t="n">
        <v>1404</v>
      </c>
      <c r="E8" s="11" t="n">
        <v>1329</v>
      </c>
      <c r="F8" s="11" t="n">
        <v>1339</v>
      </c>
      <c r="G8" s="11" t="n">
        <v>736</v>
      </c>
      <c r="H8" s="11" t="n">
        <v>755</v>
      </c>
      <c r="I8" s="11" t="n">
        <v>1300</v>
      </c>
    </row>
    <row r="9" customFormat="false" ht="15" hidden="false" customHeight="true" outlineLevel="0" collapsed="false">
      <c r="A9" s="5" t="s">
        <v>48</v>
      </c>
      <c r="B9" s="8" t="s">
        <v>45</v>
      </c>
      <c r="C9" s="8" t="s">
        <v>45</v>
      </c>
      <c r="D9" s="8" t="s">
        <v>45</v>
      </c>
      <c r="E9" s="8" t="n">
        <v>224</v>
      </c>
      <c r="F9" s="8" t="n">
        <v>219</v>
      </c>
      <c r="G9" s="8" t="n">
        <v>119</v>
      </c>
      <c r="H9" s="8" t="n">
        <v>97</v>
      </c>
      <c r="I9" s="8" t="s">
        <v>45</v>
      </c>
    </row>
    <row r="10" customFormat="false" ht="15" hidden="false" customHeight="true" outlineLevel="0" collapsed="false">
      <c r="A10" s="5" t="s">
        <v>49</v>
      </c>
      <c r="B10" s="11" t="n">
        <v>0.923</v>
      </c>
      <c r="C10" s="11" t="n">
        <v>0.915</v>
      </c>
      <c r="D10" s="11" t="s">
        <v>45</v>
      </c>
      <c r="E10" s="11" t="n">
        <v>0.922</v>
      </c>
      <c r="F10" s="11" t="n">
        <v>0.931</v>
      </c>
      <c r="G10" s="11" t="n">
        <v>0.92</v>
      </c>
      <c r="H10" s="11" t="n">
        <v>0.934</v>
      </c>
      <c r="I10" s="11" t="s">
        <v>45</v>
      </c>
    </row>
    <row r="11" customFormat="false" ht="15" hidden="false" customHeight="true" outlineLevel="0" collapsed="false">
      <c r="A11" s="5" t="s">
        <v>50</v>
      </c>
      <c r="B11" s="10" t="n">
        <f aca="false">B5-B8</f>
        <v>13116</v>
      </c>
      <c r="C11" s="10" t="n">
        <f aca="false">C5-C8</f>
        <v>16008</v>
      </c>
      <c r="D11" s="10" t="n">
        <f aca="false">D5-D8</f>
        <v>17001</v>
      </c>
      <c r="E11" s="10" t="n">
        <f aca="false">E5-E8</f>
        <v>18607</v>
      </c>
      <c r="F11" s="10" t="n">
        <f aca="false">F5-F8</f>
        <v>21134</v>
      </c>
      <c r="G11" s="10" t="n">
        <f aca="false">G5-G8</f>
        <v>9896</v>
      </c>
      <c r="H11" s="10" t="n">
        <f aca="false">H5-H8</f>
        <v>12135</v>
      </c>
      <c r="I11" s="10" t="n">
        <f aca="false">I5-I8</f>
        <v>23700</v>
      </c>
    </row>
    <row r="12" customFormat="false" ht="15" hidden="false" customHeight="true" outlineLevel="0" collapsed="false">
      <c r="A12" s="5" t="s">
        <v>51</v>
      </c>
      <c r="B12" s="10" t="str">
        <f aca="false">IF(ISNUMBER(B9),B8+B9,"n/a")</f>
        <v>n/a</v>
      </c>
      <c r="C12" s="10" t="str">
        <f aca="false">IF(ISNUMBER(C9),C8+C9,"n/a")</f>
        <v>n/a</v>
      </c>
      <c r="D12" s="10" t="str">
        <f aca="false">IF(ISNUMBER(D9),D8+D9,"n/a")</f>
        <v>n/a</v>
      </c>
      <c r="E12" s="10" t="n">
        <f aca="false">IF(ISNUMBER(E9),E8+E9,"n/a")</f>
        <v>1553</v>
      </c>
      <c r="F12" s="10" t="n">
        <f aca="false">IF(ISNUMBER(F9),F8+F9,"n/a")</f>
        <v>1558</v>
      </c>
      <c r="G12" s="10" t="n">
        <f aca="false">IF(ISNUMBER(G9),G8+G9,"n/a")</f>
        <v>855</v>
      </c>
      <c r="H12" s="10" t="n">
        <f aca="false">IF(ISNUMBER(H9),H8+H9,"n/a")</f>
        <v>852</v>
      </c>
      <c r="I12" s="10" t="str">
        <f aca="false">IF(ISNUMBER(I9),I8+I9,"n/a")</f>
        <v>n/a</v>
      </c>
    </row>
    <row r="13" customFormat="false" ht="15" hidden="false" customHeight="true" outlineLevel="0" collapsed="false">
      <c r="A13" s="5" t="s">
        <v>52</v>
      </c>
      <c r="B13" s="12" t="n">
        <f aca="false">B8/B5</f>
        <v>0.0667425643944784</v>
      </c>
      <c r="C13" s="12" t="n">
        <f aca="false">C8/C5</f>
        <v>0.074628591248049</v>
      </c>
      <c r="D13" s="12" t="n">
        <f aca="false">D8/D5</f>
        <v>0.0762836185819071</v>
      </c>
      <c r="E13" s="12" t="n">
        <f aca="false">E8/E5</f>
        <v>0.0666633226324238</v>
      </c>
      <c r="F13" s="12" t="n">
        <f aca="false">F8/F5</f>
        <v>0.0595826102434032</v>
      </c>
      <c r="G13" s="12" t="n">
        <f aca="false">G8/G5</f>
        <v>0.0692249811888638</v>
      </c>
      <c r="H13" s="12" t="n">
        <f aca="false">H8/H5</f>
        <v>0.0585725368502715</v>
      </c>
      <c r="I13" s="12" t="n">
        <f aca="false">I8/I5</f>
        <v>0.052</v>
      </c>
    </row>
    <row r="14" customFormat="false" ht="15" hidden="false" customHeight="true" outlineLevel="0" collapsed="false">
      <c r="A14" s="5" t="s">
        <v>53</v>
      </c>
      <c r="B14" s="12" t="str">
        <f aca="false">IF(ISNUMBER(B12),B12/B5,"n/a")</f>
        <v>n/a</v>
      </c>
      <c r="C14" s="12" t="str">
        <f aca="false">IF(ISNUMBER(C12),C12/C5,"n/a")</f>
        <v>n/a</v>
      </c>
      <c r="D14" s="12" t="str">
        <f aca="false">IF(ISNUMBER(D12),D12/D5,"n/a")</f>
        <v>n/a</v>
      </c>
      <c r="E14" s="12" t="n">
        <f aca="false">IF(ISNUMBER(E12),E12/E5,"n/a")</f>
        <v>0.0778992776886035</v>
      </c>
      <c r="F14" s="12" t="n">
        <f aca="false">IF(ISNUMBER(F12),F12/F5,"n/a")</f>
        <v>0.0693276376095759</v>
      </c>
      <c r="G14" s="12" t="n">
        <f aca="false">IF(ISNUMBER(G12),G12/G5,"n/a")</f>
        <v>0.0804176072234763</v>
      </c>
      <c r="H14" s="12" t="n">
        <f aca="false">IF(ISNUMBER(H12),H12/H5,"n/a")</f>
        <v>0.0660977501939488</v>
      </c>
      <c r="I14" s="12" t="str">
        <f aca="false">IF(ISNUMBER(I12),I12/I5,"n/a")</f>
        <v>n/a</v>
      </c>
    </row>
    <row r="15" customFormat="false" ht="15" hidden="false" customHeight="true" outlineLevel="0" collapsed="false">
      <c r="A15" s="5" t="s">
        <v>54</v>
      </c>
      <c r="B15" s="12" t="n">
        <f aca="false">IF(ISNUMBER(B7),B7/B5,"n/a")</f>
        <v>0.84331862814857</v>
      </c>
      <c r="C15" s="12" t="n">
        <f aca="false">IF(ISNUMBER(C7),C7/C5,"n/a")</f>
        <v>0.773050465344818</v>
      </c>
      <c r="D15" s="12" t="n">
        <f aca="false">IF(ISNUMBER(D7),D7/D5,"n/a")</f>
        <v>0.83520782396088</v>
      </c>
      <c r="E15" s="12" t="n">
        <f aca="false">IF(ISNUMBER(E7),E7/E5,"n/a")</f>
        <v>0.826193820224719</v>
      </c>
      <c r="F15" s="12" t="n">
        <f aca="false">IF(ISNUMBER(F7),F7/F5,"n/a")</f>
        <v>0.785698393627909</v>
      </c>
      <c r="G15" s="12" t="n">
        <f aca="false">IF(ISNUMBER(G7),G7/G5,"n/a")</f>
        <v>0.785929270127916</v>
      </c>
      <c r="H15" s="12" t="n">
        <f aca="false">IF(ISNUMBER(H7),H7/H5,"n/a")</f>
        <v>0.766563227307991</v>
      </c>
      <c r="I15" s="12" t="str">
        <f aca="false">IF(ISNUMBER(I7),I7/I5,"n/a")</f>
        <v>n/a</v>
      </c>
    </row>
    <row r="16" customFormat="false" ht="15" hidden="false" customHeight="true" outlineLevel="0" collapsed="false">
      <c r="A16" s="5" t="s">
        <v>55</v>
      </c>
      <c r="B16" s="12" t="s">
        <v>45</v>
      </c>
      <c r="C16" s="12" t="n">
        <f aca="false">C5/B5-1</f>
        <v>0.23089511882738</v>
      </c>
      <c r="D16" s="12" t="n">
        <f aca="false">D5/C5-1</f>
        <v>0.0639343314642464</v>
      </c>
      <c r="E16" s="12" t="n">
        <f aca="false">E5/D5-1</f>
        <v>0.0831839174137463</v>
      </c>
      <c r="F16" s="12" t="n">
        <f aca="false">F5/E5-1</f>
        <v>0.127257223113965</v>
      </c>
      <c r="G16" s="12" t="s">
        <v>45</v>
      </c>
      <c r="H16" s="12" t="n">
        <f aca="false">H5/G5-1</f>
        <v>0.212377727614748</v>
      </c>
      <c r="I16" s="12" t="n">
        <f aca="false">I5/F5-1</f>
        <v>0.112446046366751</v>
      </c>
    </row>
    <row r="17" customFormat="false" ht="15" hidden="false" customHeight="true" outlineLevel="0" collapsed="false">
      <c r="A17" s="5" t="s">
        <v>56</v>
      </c>
      <c r="B17" s="12" t="s">
        <v>45</v>
      </c>
      <c r="C17" s="12" t="n">
        <f aca="false">C8/B8-1</f>
        <v>0.376332622601279</v>
      </c>
      <c r="D17" s="12" t="n">
        <f aca="false">D8/C8-1</f>
        <v>0.0875290472501937</v>
      </c>
      <c r="E17" s="12" t="n">
        <f aca="false">E8/D8-1</f>
        <v>-0.0534188034188035</v>
      </c>
      <c r="F17" s="12" t="n">
        <f aca="false">F8/E8-1</f>
        <v>0.00752445447705052</v>
      </c>
      <c r="G17" s="12" t="s">
        <v>45</v>
      </c>
      <c r="H17" s="12" t="n">
        <f aca="false">H8/G8-1</f>
        <v>0.0258152173913044</v>
      </c>
      <c r="I17" s="12" t="n">
        <f aca="false">I8/F8-1</f>
        <v>-0.029126213592233</v>
      </c>
    </row>
    <row r="20" customFormat="false" ht="15" hidden="false" customHeight="true" outlineLevel="0" collapsed="false">
      <c r="A20" s="13" t="s">
        <v>57</v>
      </c>
    </row>
    <row r="21" customFormat="false" ht="15" hidden="false" customHeight="true" outlineLevel="0" collapsed="false">
      <c r="A21" s="3" t="s">
        <v>58</v>
      </c>
    </row>
    <row r="22" customFormat="false" ht="15" hidden="false" customHeight="true" outlineLevel="0" collapsed="false">
      <c r="A22" s="3" t="s">
        <v>59</v>
      </c>
    </row>
    <row r="23" customFormat="false" ht="15" hidden="false" customHeight="true" outlineLevel="0" collapsed="false">
      <c r="A23" s="3" t="s">
        <v>60</v>
      </c>
    </row>
    <row r="24" customFormat="false" ht="15" hidden="false" customHeight="true" outlineLevel="0" collapsed="false">
      <c r="A24" s="3" t="s">
        <v>61</v>
      </c>
    </row>
    <row r="25" customFormat="false" ht="15" hidden="false" customHeight="true" outlineLevel="0" collapsed="false">
      <c r="A25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  <col collapsed="false" customWidth="true" hidden="false" outlineLevel="0" max="8" min="8" style="1" width="14"/>
  </cols>
  <sheetData>
    <row r="1" customFormat="false" ht="19.5" hidden="false" customHeight="true" outlineLevel="0" collapsed="false">
      <c r="A1" s="2" t="s">
        <v>63</v>
      </c>
    </row>
    <row r="2" customFormat="false" ht="15" hidden="false" customHeight="true" outlineLevel="0" collapsed="false">
      <c r="A2" s="3" t="s">
        <v>64</v>
      </c>
    </row>
    <row r="4" customFormat="false" ht="15" hidden="false" customHeight="true" outlineLevel="0" collapsed="false">
      <c r="A4" s="4" t="s">
        <v>65</v>
      </c>
      <c r="B4" s="4" t="s">
        <v>38</v>
      </c>
      <c r="C4" s="4" t="s">
        <v>39</v>
      </c>
      <c r="D4" s="4" t="s">
        <v>66</v>
      </c>
      <c r="E4" s="4" t="s">
        <v>40</v>
      </c>
      <c r="F4" s="4" t="s">
        <v>41</v>
      </c>
      <c r="G4" s="4" t="s">
        <v>66</v>
      </c>
      <c r="H4" s="4" t="s">
        <v>67</v>
      </c>
    </row>
    <row r="5" customFormat="false" ht="15" hidden="false" customHeight="true" outlineLevel="0" collapsed="false">
      <c r="A5" s="5" t="s">
        <v>68</v>
      </c>
      <c r="B5" s="14" t="n">
        <v>11628</v>
      </c>
      <c r="C5" s="14" t="n">
        <v>12959</v>
      </c>
      <c r="D5" s="15" t="n">
        <f aca="false">C5/B5-1</f>
        <v>0.114465084279326</v>
      </c>
      <c r="E5" s="14" t="n">
        <v>5979</v>
      </c>
      <c r="F5" s="14" t="n">
        <v>6945</v>
      </c>
      <c r="G5" s="15" t="n">
        <f aca="false">F5/E5-1</f>
        <v>0.16156547917712</v>
      </c>
      <c r="H5" s="15" t="n">
        <f aca="false">C5/C$8</f>
        <v>0.576647532594669</v>
      </c>
    </row>
    <row r="6" customFormat="false" ht="15" hidden="false" customHeight="true" outlineLevel="0" collapsed="false">
      <c r="A6" s="5" t="s">
        <v>69</v>
      </c>
      <c r="B6" s="14" t="n">
        <v>4945</v>
      </c>
      <c r="C6" s="14" t="n">
        <v>5986</v>
      </c>
      <c r="D6" s="15" t="n">
        <f aca="false">C6/B6-1</f>
        <v>0.21051567239636</v>
      </c>
      <c r="E6" s="14" t="n">
        <v>2898</v>
      </c>
      <c r="F6" s="14" t="n">
        <v>3930</v>
      </c>
      <c r="G6" s="15" t="n">
        <f aca="false">F6/E6-1</f>
        <v>0.356107660455487</v>
      </c>
      <c r="H6" s="15" t="n">
        <f aca="false">C6/C$8</f>
        <v>0.266364081342055</v>
      </c>
    </row>
    <row r="7" customFormat="false" ht="15" hidden="false" customHeight="true" outlineLevel="0" collapsed="false">
      <c r="A7" s="5" t="s">
        <v>70</v>
      </c>
      <c r="B7" s="14" t="n">
        <v>3363</v>
      </c>
      <c r="C7" s="14" t="n">
        <v>3528</v>
      </c>
      <c r="D7" s="15" t="n">
        <f aca="false">C7/B7-1</f>
        <v>0.0490633363068689</v>
      </c>
      <c r="E7" s="14" t="n">
        <v>1755</v>
      </c>
      <c r="F7" s="14" t="n">
        <v>2015</v>
      </c>
      <c r="G7" s="15" t="n">
        <f aca="false">F7/E7-1</f>
        <v>0.148148148148148</v>
      </c>
      <c r="H7" s="15" t="n">
        <f aca="false">C7/C$8</f>
        <v>0.156988386063276</v>
      </c>
    </row>
    <row r="8" customFormat="false" ht="15" hidden="false" customHeight="true" outlineLevel="0" collapsed="false">
      <c r="A8" s="5" t="s">
        <v>71</v>
      </c>
      <c r="B8" s="16" t="n">
        <f aca="false">SUM(B5:B7)</f>
        <v>19936</v>
      </c>
      <c r="C8" s="16" t="n">
        <f aca="false">SUM(C5:C7)</f>
        <v>22473</v>
      </c>
      <c r="D8" s="17" t="n">
        <f aca="false">C8/B8-1</f>
        <v>0.127257223113965</v>
      </c>
      <c r="E8" s="16" t="n">
        <f aca="false">SUM(E5:E7)</f>
        <v>10632</v>
      </c>
      <c r="F8" s="16" t="n">
        <f aca="false">SUM(F5:F7)</f>
        <v>12890</v>
      </c>
      <c r="G8" s="17" t="n">
        <f aca="false">F8/E8-1</f>
        <v>0.212377727614748</v>
      </c>
      <c r="H8" s="17" t="n">
        <f aca="false">C8/C$8</f>
        <v>1</v>
      </c>
    </row>
    <row r="10" customFormat="false" ht="15" hidden="false" customHeight="true" outlineLevel="0" collapsed="false">
      <c r="A10" s="13" t="s">
        <v>72</v>
      </c>
    </row>
    <row r="11" customFormat="false" ht="15" hidden="false" customHeight="true" outlineLevel="0" collapsed="false">
      <c r="A11" s="4" t="s">
        <v>65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73</v>
      </c>
    </row>
    <row r="12" customFormat="false" ht="15" hidden="false" customHeight="true" outlineLevel="0" collapsed="false">
      <c r="A12" s="5" t="s">
        <v>68</v>
      </c>
      <c r="B12" s="14" t="n">
        <v>1025</v>
      </c>
      <c r="C12" s="14" t="n">
        <v>849</v>
      </c>
      <c r="D12" s="14" t="n">
        <v>904</v>
      </c>
      <c r="E12" s="14" t="n">
        <v>1218</v>
      </c>
      <c r="F12" s="14" t="n">
        <v>599</v>
      </c>
      <c r="G12" s="14" t="n">
        <v>679</v>
      </c>
      <c r="H12" s="15" t="n">
        <f aca="false">E12/D12-1</f>
        <v>0.347345132743363</v>
      </c>
    </row>
    <row r="13" customFormat="false" ht="15" hidden="false" customHeight="true" outlineLevel="0" collapsed="false">
      <c r="A13" s="5" t="s">
        <v>69</v>
      </c>
      <c r="B13" s="14" t="n">
        <v>568</v>
      </c>
      <c r="C13" s="14" t="n">
        <v>842</v>
      </c>
      <c r="D13" s="14" t="n">
        <v>1248</v>
      </c>
      <c r="E13" s="14" t="n">
        <v>2197</v>
      </c>
      <c r="F13" s="14" t="n">
        <v>982</v>
      </c>
      <c r="G13" s="14" t="n">
        <v>1627</v>
      </c>
      <c r="H13" s="15" t="n">
        <f aca="false">E13/D13-1</f>
        <v>0.760416666666667</v>
      </c>
    </row>
    <row r="14" customFormat="false" ht="15" hidden="false" customHeight="true" outlineLevel="0" collapsed="false">
      <c r="A14" s="5" t="s">
        <v>70</v>
      </c>
      <c r="B14" s="14" t="n">
        <v>2333</v>
      </c>
      <c r="C14" s="14" t="n">
        <v>1342</v>
      </c>
      <c r="D14" s="14" t="n">
        <v>1313</v>
      </c>
      <c r="E14" s="14" t="n">
        <v>1401</v>
      </c>
      <c r="F14" s="14" t="n">
        <v>695</v>
      </c>
      <c r="G14" s="14" t="n">
        <v>703</v>
      </c>
      <c r="H14" s="15" t="n">
        <f aca="false">E14/D14-1</f>
        <v>0.067022086824067</v>
      </c>
    </row>
    <row r="15" customFormat="false" ht="15" hidden="false" customHeight="true" outlineLevel="0" collapsed="false">
      <c r="A15" s="5" t="s">
        <v>74</v>
      </c>
      <c r="B15" s="16" t="n">
        <f aca="false">SUM(B12:B14)</f>
        <v>3926</v>
      </c>
      <c r="C15" s="16" t="n">
        <f aca="false">SUM(C12:C14)</f>
        <v>3033</v>
      </c>
      <c r="D15" s="16" t="n">
        <f aca="false">SUM(D12:D14)</f>
        <v>3465</v>
      </c>
      <c r="E15" s="16" t="n">
        <f aca="false">SUM(E12:E14)</f>
        <v>4816</v>
      </c>
      <c r="F15" s="16" t="n">
        <f aca="false">SUM(F12:F14)</f>
        <v>2276</v>
      </c>
      <c r="G15" s="16" t="n">
        <f aca="false">SUM(G12:G14)</f>
        <v>3009</v>
      </c>
      <c r="H15" s="17" t="n">
        <f aca="false">E15/D15-1</f>
        <v>0.38989898989899</v>
      </c>
    </row>
    <row r="17" customFormat="false" ht="15" hidden="false" customHeight="true" outlineLevel="0" collapsed="false">
      <c r="A17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3"/>
    <col collapsed="false" customWidth="true" hidden="false" outlineLevel="0" max="6" min="6" style="1" width="34"/>
  </cols>
  <sheetData>
    <row r="1" customFormat="false" ht="19.5" hidden="false" customHeight="true" outlineLevel="0" collapsed="false">
      <c r="A1" s="2" t="s">
        <v>76</v>
      </c>
    </row>
    <row r="2" customFormat="false" ht="15" hidden="false" customHeight="true" outlineLevel="0" collapsed="false">
      <c r="A2" s="3" t="s">
        <v>77</v>
      </c>
    </row>
    <row r="4" customFormat="false" ht="15" hidden="false" customHeight="true" outlineLevel="0" collapsed="false">
      <c r="A4" s="4" t="s">
        <v>78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79</v>
      </c>
    </row>
    <row r="5" customFormat="false" ht="15" hidden="false" customHeight="true" outlineLevel="0" collapsed="false">
      <c r="A5" s="5" t="s">
        <v>80</v>
      </c>
      <c r="B5" s="14" t="n">
        <v>18383</v>
      </c>
      <c r="C5" s="14" t="n">
        <v>20915</v>
      </c>
      <c r="D5" s="14" t="n">
        <v>9777</v>
      </c>
      <c r="E5" s="14" t="n">
        <v>12038</v>
      </c>
      <c r="F5" s="18" t="s">
        <v>81</v>
      </c>
    </row>
    <row r="6" customFormat="false" ht="15" hidden="false" customHeight="true" outlineLevel="0" collapsed="false">
      <c r="A6" s="5" t="s">
        <v>82</v>
      </c>
      <c r="B6" s="14" t="n">
        <v>224</v>
      </c>
      <c r="C6" s="14" t="n">
        <v>219</v>
      </c>
      <c r="D6" s="14" t="n">
        <v>119</v>
      </c>
      <c r="E6" s="14" t="n">
        <v>97</v>
      </c>
      <c r="F6" s="18" t="s">
        <v>81</v>
      </c>
    </row>
    <row r="7" customFormat="false" ht="15" hidden="false" customHeight="true" outlineLevel="0" collapsed="false">
      <c r="A7" s="5" t="s">
        <v>83</v>
      </c>
      <c r="B7" s="14" t="n">
        <v>43</v>
      </c>
      <c r="C7" s="14" t="n">
        <v>34</v>
      </c>
      <c r="D7" s="14" t="n">
        <v>21</v>
      </c>
      <c r="E7" s="14" t="n">
        <v>11</v>
      </c>
      <c r="F7" s="18" t="s">
        <v>81</v>
      </c>
    </row>
    <row r="8" customFormat="false" ht="15" hidden="false" customHeight="true" outlineLevel="0" collapsed="false">
      <c r="A8" s="5" t="s">
        <v>84</v>
      </c>
      <c r="B8" s="14" t="n">
        <v>575</v>
      </c>
      <c r="C8" s="14" t="n">
        <v>546</v>
      </c>
      <c r="D8" s="14" t="n">
        <v>209</v>
      </c>
      <c r="E8" s="14" t="n">
        <v>253</v>
      </c>
      <c r="F8" s="18" t="s">
        <v>85</v>
      </c>
    </row>
    <row r="9" customFormat="false" ht="15" hidden="false" customHeight="true" outlineLevel="0" collapsed="false">
      <c r="A9" s="5" t="s">
        <v>86</v>
      </c>
      <c r="B9" s="14" t="n">
        <v>89</v>
      </c>
      <c r="C9" s="14" t="n">
        <v>81</v>
      </c>
      <c r="D9" s="14" t="n">
        <v>1</v>
      </c>
      <c r="E9" s="14" t="n">
        <v>930</v>
      </c>
      <c r="F9" s="18" t="s">
        <v>87</v>
      </c>
    </row>
    <row r="10" customFormat="false" ht="15" hidden="false" customHeight="true" outlineLevel="0" collapsed="false">
      <c r="A10" s="5" t="s">
        <v>88</v>
      </c>
      <c r="B10" s="16" t="n">
        <f aca="false">B5+B6</f>
        <v>18607</v>
      </c>
      <c r="C10" s="16" t="n">
        <f aca="false">C5+C6</f>
        <v>21134</v>
      </c>
      <c r="D10" s="16" t="n">
        <f aca="false">D5+D6</f>
        <v>9896</v>
      </c>
      <c r="E10" s="16" t="n">
        <f aca="false">E5+E6</f>
        <v>12135</v>
      </c>
      <c r="F10" s="18" t="s">
        <v>81</v>
      </c>
    </row>
    <row r="11" customFormat="false" ht="15" hidden="false" customHeight="true" outlineLevel="0" collapsed="false">
      <c r="A11" s="5" t="s">
        <v>89</v>
      </c>
      <c r="B11" s="19" t="n">
        <f aca="false">B5/Financials!E5</f>
        <v>0.922100722311397</v>
      </c>
      <c r="C11" s="19" t="n">
        <f aca="false">C5/Financials!F5</f>
        <v>0.930672362390424</v>
      </c>
      <c r="D11" s="19" t="n">
        <f aca="false">D5/Financials!G5</f>
        <v>0.919582392776524</v>
      </c>
      <c r="E11" s="19" t="n">
        <f aca="false">E5/Financials!H5</f>
        <v>0.933902249806051</v>
      </c>
      <c r="F11" s="20" t="s">
        <v>90</v>
      </c>
    </row>
    <row r="13" customFormat="false" ht="15" hidden="false" customHeight="true" outlineLevel="0" collapsed="false">
      <c r="A13" s="3" t="s">
        <v>91</v>
      </c>
    </row>
    <row r="14" customFormat="false" ht="15" hidden="false" customHeight="true" outlineLevel="0" collapsed="false">
      <c r="A14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5"/>
    <col collapsed="false" customWidth="true" hidden="false" outlineLevel="0" max="5" min="5" style="1" width="20"/>
  </cols>
  <sheetData>
    <row r="1" customFormat="false" ht="19.5" hidden="false" customHeight="true" outlineLevel="0" collapsed="false">
      <c r="A1" s="2" t="s">
        <v>93</v>
      </c>
    </row>
    <row r="2" customFormat="false" ht="15" hidden="false" customHeight="true" outlineLevel="0" collapsed="false">
      <c r="A2" s="3" t="s">
        <v>94</v>
      </c>
    </row>
    <row r="4" customFormat="false" ht="15" hidden="false" customHeight="true" outlineLevel="0" collapsed="false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</row>
    <row r="5" customFormat="false" ht="15" hidden="false" customHeight="true" outlineLevel="0" collapsed="false">
      <c r="A5" s="5" t="s">
        <v>100</v>
      </c>
      <c r="B5" s="21" t="n">
        <v>344</v>
      </c>
      <c r="C5" s="21" t="n">
        <v>350</v>
      </c>
      <c r="D5" s="21" t="n">
        <v>398</v>
      </c>
      <c r="E5" s="15" t="n">
        <f aca="false">D5/B5-1</f>
        <v>0.156976744186047</v>
      </c>
    </row>
    <row r="6" customFormat="false" ht="15" hidden="false" customHeight="true" outlineLevel="0" collapsed="false">
      <c r="A6" s="5" t="s">
        <v>101</v>
      </c>
      <c r="B6" s="21" t="n">
        <v>1002</v>
      </c>
      <c r="C6" s="21" t="n">
        <v>1319</v>
      </c>
      <c r="D6" s="21" t="n">
        <v>1478</v>
      </c>
      <c r="E6" s="15" t="n">
        <f aca="false">D6/B6-1</f>
        <v>0.475049900199601</v>
      </c>
    </row>
    <row r="7" customFormat="false" ht="15" hidden="false" customHeight="true" outlineLevel="0" collapsed="false">
      <c r="A7" s="5" t="s">
        <v>102</v>
      </c>
      <c r="B7" s="21" t="n">
        <v>390500</v>
      </c>
      <c r="C7" s="21" t="n">
        <v>491100</v>
      </c>
      <c r="D7" s="21" t="n">
        <v>622000</v>
      </c>
      <c r="E7" s="15" t="n">
        <f aca="false">D7/B7-1</f>
        <v>0.592829705505762</v>
      </c>
    </row>
    <row r="8" customFormat="false" ht="15" hidden="false" customHeight="true" outlineLevel="0" collapsed="false">
      <c r="A8" s="5" t="s">
        <v>103</v>
      </c>
      <c r="B8" s="21" t="n">
        <v>79400</v>
      </c>
      <c r="C8" s="21" t="n">
        <v>111400</v>
      </c>
      <c r="D8" s="21" t="n">
        <v>137300</v>
      </c>
      <c r="E8" s="15" t="n">
        <f aca="false">D8/B8-1</f>
        <v>0.729219143576826</v>
      </c>
    </row>
    <row r="9" customFormat="false" ht="15" hidden="false" customHeight="true" outlineLevel="0" collapsed="false">
      <c r="A9" s="5" t="s">
        <v>104</v>
      </c>
      <c r="B9" s="21" t="n">
        <v>246500</v>
      </c>
      <c r="C9" s="21" t="n">
        <v>304900</v>
      </c>
      <c r="D9" s="21" t="n">
        <v>374400</v>
      </c>
      <c r="E9" s="15" t="n">
        <f aca="false">D9/B9-1</f>
        <v>0.518864097363083</v>
      </c>
    </row>
    <row r="10" customFormat="false" ht="15" hidden="false" customHeight="true" outlineLevel="0" collapsed="false">
      <c r="A10" s="5" t="s">
        <v>105</v>
      </c>
      <c r="B10" s="21" t="n">
        <v>64600</v>
      </c>
      <c r="C10" s="21" t="n">
        <v>74800</v>
      </c>
      <c r="D10" s="21" t="n">
        <v>110300</v>
      </c>
      <c r="E10" s="15" t="n">
        <f aca="false">D10/B10-1</f>
        <v>0.707430340557276</v>
      </c>
    </row>
    <row r="12" customFormat="false" ht="15" hidden="false" customHeight="true" outlineLevel="0" collapsed="false">
      <c r="A12" s="4" t="s">
        <v>106</v>
      </c>
      <c r="B12" s="4" t="s">
        <v>38</v>
      </c>
      <c r="C12" s="4" t="s">
        <v>39</v>
      </c>
      <c r="D12" s="4" t="s">
        <v>66</v>
      </c>
      <c r="E12" s="4"/>
    </row>
    <row r="13" customFormat="false" ht="15" hidden="false" customHeight="true" outlineLevel="0" collapsed="false">
      <c r="A13" s="5" t="s">
        <v>107</v>
      </c>
      <c r="B13" s="21" t="n">
        <v>321862</v>
      </c>
      <c r="C13" s="21" t="n">
        <v>315369</v>
      </c>
      <c r="D13" s="15" t="n">
        <f aca="false">C13/B13-1</f>
        <v>-0.0201732419484126</v>
      </c>
    </row>
    <row r="14" customFormat="false" ht="15" hidden="false" customHeight="true" outlineLevel="0" collapsed="false">
      <c r="A14" s="5" t="s">
        <v>108</v>
      </c>
      <c r="B14" s="21" t="n">
        <v>418603</v>
      </c>
      <c r="C14" s="21" t="n">
        <v>428342</v>
      </c>
      <c r="D14" s="15" t="n">
        <f aca="false">C14/B14-1</f>
        <v>0.0232654806582848</v>
      </c>
    </row>
    <row r="16" customFormat="false" ht="15" hidden="false" customHeight="true" outlineLevel="0" collapsed="false">
      <c r="A16" s="4" t="s">
        <v>109</v>
      </c>
      <c r="B16" s="4" t="s">
        <v>38</v>
      </c>
      <c r="C16" s="4" t="s">
        <v>39</v>
      </c>
      <c r="D16" s="4" t="s">
        <v>41</v>
      </c>
      <c r="E16" s="4"/>
    </row>
    <row r="17" customFormat="false" ht="15" hidden="false" customHeight="true" outlineLevel="0" collapsed="false">
      <c r="A17" s="5" t="s">
        <v>110</v>
      </c>
      <c r="B17" s="22" t="n">
        <v>0.91</v>
      </c>
      <c r="C17" s="22" t="n">
        <v>0.905</v>
      </c>
      <c r="D17" s="22" t="n">
        <v>0.908</v>
      </c>
    </row>
    <row r="18" customFormat="false" ht="15" hidden="false" customHeight="true" outlineLevel="0" collapsed="false">
      <c r="A18" s="5" t="s">
        <v>111</v>
      </c>
      <c r="B18" s="22" t="n">
        <v>0.283</v>
      </c>
      <c r="C18" s="22" t="n">
        <v>0.259</v>
      </c>
      <c r="D18" s="22" t="n">
        <v>0.238</v>
      </c>
    </row>
    <row r="20" customFormat="false" ht="15" hidden="false" customHeight="true" outlineLevel="0" collapsed="false">
      <c r="A20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4"/>
    <col collapsed="false" customWidth="true" hidden="false" outlineLevel="0" max="4" min="3" style="1" width="22"/>
    <col collapsed="false" customWidth="true" hidden="false" outlineLevel="0" max="5" min="5" style="1" width="36"/>
    <col collapsed="false" customWidth="true" hidden="false" outlineLevel="0" max="6" min="6" style="1" width="13"/>
    <col collapsed="false" customWidth="true" hidden="false" outlineLevel="0" max="7" min="7" style="1" width="34"/>
  </cols>
  <sheetData>
    <row r="1" customFormat="false" ht="19.5" hidden="false" customHeight="true" outlineLevel="0" collapsed="false">
      <c r="A1" s="2" t="s">
        <v>113</v>
      </c>
    </row>
    <row r="2" customFormat="false" ht="15" hidden="false" customHeight="true" outlineLevel="0" collapsed="false">
      <c r="A2" s="3" t="s">
        <v>114</v>
      </c>
    </row>
    <row r="4" customFormat="false" ht="15" hidden="false" customHeight="true" outlineLevel="0" collapsed="false">
      <c r="A4" s="4" t="s">
        <v>115</v>
      </c>
      <c r="B4" s="4" t="s">
        <v>116</v>
      </c>
      <c r="C4" s="4" t="s">
        <v>65</v>
      </c>
      <c r="D4" s="4" t="s">
        <v>117</v>
      </c>
      <c r="E4" s="4" t="s">
        <v>118</v>
      </c>
      <c r="F4" s="4" t="s">
        <v>119</v>
      </c>
      <c r="G4" s="4" t="s">
        <v>120</v>
      </c>
    </row>
    <row r="5" customFormat="false" ht="15" hidden="false" customHeight="true" outlineLevel="0" collapsed="false">
      <c r="A5" s="23" t="s">
        <v>121</v>
      </c>
      <c r="B5" s="9" t="s">
        <v>122</v>
      </c>
      <c r="C5" s="9" t="s">
        <v>123</v>
      </c>
      <c r="D5" s="9" t="s">
        <v>124</v>
      </c>
      <c r="E5" s="9" t="s">
        <v>125</v>
      </c>
      <c r="F5" s="9" t="s">
        <v>126</v>
      </c>
      <c r="G5" s="9" t="s">
        <v>127</v>
      </c>
    </row>
    <row r="6" customFormat="false" ht="15" hidden="false" customHeight="true" outlineLevel="0" collapsed="false">
      <c r="A6" s="24" t="s">
        <v>128</v>
      </c>
      <c r="B6" s="18" t="s">
        <v>122</v>
      </c>
      <c r="C6" s="18" t="s">
        <v>123</v>
      </c>
      <c r="D6" s="18" t="s">
        <v>129</v>
      </c>
      <c r="E6" s="18" t="s">
        <v>125</v>
      </c>
      <c r="F6" s="18" t="s">
        <v>130</v>
      </c>
      <c r="G6" s="18" t="s">
        <v>131</v>
      </c>
    </row>
    <row r="7" customFormat="false" ht="15" hidden="false" customHeight="true" outlineLevel="0" collapsed="false">
      <c r="A7" s="23" t="s">
        <v>132</v>
      </c>
      <c r="B7" s="9" t="s">
        <v>122</v>
      </c>
      <c r="C7" s="9" t="s">
        <v>123</v>
      </c>
      <c r="D7" s="9" t="s">
        <v>133</v>
      </c>
      <c r="E7" s="9" t="s">
        <v>125</v>
      </c>
      <c r="F7" s="9" t="s">
        <v>134</v>
      </c>
      <c r="G7" s="9" t="s">
        <v>135</v>
      </c>
    </row>
    <row r="8" customFormat="false" ht="15" hidden="false" customHeight="true" outlineLevel="0" collapsed="false">
      <c r="A8" s="24" t="s">
        <v>136</v>
      </c>
      <c r="B8" s="18" t="s">
        <v>122</v>
      </c>
      <c r="C8" s="18" t="s">
        <v>123</v>
      </c>
      <c r="D8" s="18" t="s">
        <v>137</v>
      </c>
      <c r="E8" s="18" t="s">
        <v>125</v>
      </c>
      <c r="F8" s="18" t="s">
        <v>138</v>
      </c>
      <c r="G8" s="18"/>
    </row>
    <row r="9" customFormat="false" ht="15" hidden="false" customHeight="true" outlineLevel="0" collapsed="false">
      <c r="A9" s="23" t="s">
        <v>139</v>
      </c>
      <c r="B9" s="9" t="s">
        <v>122</v>
      </c>
      <c r="C9" s="9" t="s">
        <v>123</v>
      </c>
      <c r="D9" s="9" t="s">
        <v>140</v>
      </c>
      <c r="E9" s="9" t="s">
        <v>141</v>
      </c>
      <c r="F9" s="9" t="s">
        <v>142</v>
      </c>
      <c r="G9" s="9"/>
    </row>
    <row r="10" customFormat="false" ht="15" hidden="false" customHeight="true" outlineLevel="0" collapsed="false">
      <c r="A10" s="24" t="s">
        <v>143</v>
      </c>
      <c r="B10" s="18" t="s">
        <v>144</v>
      </c>
      <c r="C10" s="18" t="s">
        <v>69</v>
      </c>
      <c r="D10" s="18" t="s">
        <v>145</v>
      </c>
      <c r="E10" s="18" t="s">
        <v>146</v>
      </c>
      <c r="F10" s="18" t="s">
        <v>147</v>
      </c>
      <c r="G10" s="18" t="s">
        <v>148</v>
      </c>
    </row>
    <row r="11" customFormat="false" ht="15" hidden="false" customHeight="true" outlineLevel="0" collapsed="false">
      <c r="A11" s="23" t="s">
        <v>149</v>
      </c>
      <c r="B11" s="9" t="s">
        <v>144</v>
      </c>
      <c r="C11" s="9" t="s">
        <v>69</v>
      </c>
      <c r="D11" s="9" t="s">
        <v>150</v>
      </c>
      <c r="E11" s="9" t="s">
        <v>146</v>
      </c>
      <c r="F11" s="9" t="s">
        <v>151</v>
      </c>
      <c r="G11" s="9" t="s">
        <v>148</v>
      </c>
    </row>
    <row r="12" customFormat="false" ht="15" hidden="false" customHeight="true" outlineLevel="0" collapsed="false">
      <c r="A12" s="24" t="s">
        <v>152</v>
      </c>
      <c r="B12" s="18" t="s">
        <v>144</v>
      </c>
      <c r="C12" s="18" t="s">
        <v>69</v>
      </c>
      <c r="D12" s="18" t="s">
        <v>153</v>
      </c>
      <c r="E12" s="18" t="s">
        <v>146</v>
      </c>
      <c r="F12" s="18" t="s">
        <v>154</v>
      </c>
      <c r="G12" s="18" t="s">
        <v>148</v>
      </c>
    </row>
    <row r="13" customFormat="false" ht="15" hidden="false" customHeight="true" outlineLevel="0" collapsed="false">
      <c r="A13" s="23" t="s">
        <v>155</v>
      </c>
      <c r="B13" s="9" t="s">
        <v>144</v>
      </c>
      <c r="C13" s="9" t="s">
        <v>69</v>
      </c>
      <c r="D13" s="9" t="s">
        <v>156</v>
      </c>
      <c r="E13" s="9" t="s">
        <v>146</v>
      </c>
      <c r="F13" s="9" t="s">
        <v>157</v>
      </c>
      <c r="G13" s="9" t="s">
        <v>148</v>
      </c>
    </row>
    <row r="14" customFormat="false" ht="15" hidden="false" customHeight="true" outlineLevel="0" collapsed="false">
      <c r="A14" s="24" t="s">
        <v>158</v>
      </c>
      <c r="B14" s="18" t="s">
        <v>144</v>
      </c>
      <c r="C14" s="18" t="s">
        <v>69</v>
      </c>
      <c r="D14" s="18" t="s">
        <v>159</v>
      </c>
      <c r="E14" s="18" t="s">
        <v>146</v>
      </c>
      <c r="F14" s="18" t="s">
        <v>147</v>
      </c>
      <c r="G14" s="18" t="s">
        <v>148</v>
      </c>
    </row>
    <row r="15" customFormat="false" ht="15" hidden="false" customHeight="true" outlineLevel="0" collapsed="false">
      <c r="A15" s="23" t="s">
        <v>160</v>
      </c>
      <c r="B15" s="9" t="s">
        <v>144</v>
      </c>
      <c r="C15" s="9" t="s">
        <v>69</v>
      </c>
      <c r="D15" s="9" t="s">
        <v>161</v>
      </c>
      <c r="E15" s="9" t="s">
        <v>146</v>
      </c>
      <c r="F15" s="9" t="s">
        <v>162</v>
      </c>
      <c r="G15" s="9" t="s">
        <v>148</v>
      </c>
    </row>
    <row r="16" customFormat="false" ht="15" hidden="false" customHeight="true" outlineLevel="0" collapsed="false">
      <c r="A16" s="24" t="s">
        <v>163</v>
      </c>
      <c r="B16" s="18" t="s">
        <v>144</v>
      </c>
      <c r="C16" s="18" t="s">
        <v>69</v>
      </c>
      <c r="D16" s="18" t="s">
        <v>164</v>
      </c>
      <c r="E16" s="18" t="s">
        <v>146</v>
      </c>
      <c r="F16" s="18" t="s">
        <v>165</v>
      </c>
      <c r="G16" s="18" t="s">
        <v>148</v>
      </c>
    </row>
    <row r="17" customFormat="false" ht="15" hidden="false" customHeight="true" outlineLevel="0" collapsed="false">
      <c r="A17" s="23" t="s">
        <v>166</v>
      </c>
      <c r="B17" s="9" t="s">
        <v>167</v>
      </c>
      <c r="C17" s="9" t="s">
        <v>168</v>
      </c>
      <c r="D17" s="9" t="s">
        <v>169</v>
      </c>
      <c r="E17" s="9" t="s">
        <v>170</v>
      </c>
      <c r="F17" s="9" t="s">
        <v>171</v>
      </c>
      <c r="G17" s="9" t="s">
        <v>172</v>
      </c>
    </row>
    <row r="18" customFormat="false" ht="15" hidden="false" customHeight="true" outlineLevel="0" collapsed="false">
      <c r="A18" s="24" t="s">
        <v>173</v>
      </c>
      <c r="B18" s="18" t="s">
        <v>167</v>
      </c>
      <c r="C18" s="18" t="s">
        <v>168</v>
      </c>
      <c r="D18" s="18" t="s">
        <v>174</v>
      </c>
      <c r="E18" s="18" t="s">
        <v>170</v>
      </c>
      <c r="F18" s="18" t="s">
        <v>171</v>
      </c>
      <c r="G18" s="18" t="s">
        <v>148</v>
      </c>
    </row>
    <row r="19" customFormat="false" ht="15" hidden="false" customHeight="true" outlineLevel="0" collapsed="false">
      <c r="A19" s="23" t="s">
        <v>175</v>
      </c>
      <c r="B19" s="9" t="s">
        <v>176</v>
      </c>
      <c r="C19" s="9" t="s">
        <v>177</v>
      </c>
      <c r="D19" s="9" t="s">
        <v>178</v>
      </c>
      <c r="E19" s="9" t="s">
        <v>177</v>
      </c>
      <c r="F19" s="9"/>
      <c r="G19" s="9" t="s">
        <v>179</v>
      </c>
    </row>
    <row r="20" customFormat="false" ht="15" hidden="false" customHeight="true" outlineLevel="0" collapsed="false">
      <c r="A20" s="24" t="s">
        <v>180</v>
      </c>
      <c r="B20" s="18" t="s">
        <v>176</v>
      </c>
      <c r="C20" s="18" t="s">
        <v>177</v>
      </c>
      <c r="D20" s="18" t="s">
        <v>181</v>
      </c>
      <c r="E20" s="18" t="s">
        <v>177</v>
      </c>
      <c r="F20" s="18"/>
      <c r="G20" s="18" t="s">
        <v>179</v>
      </c>
    </row>
    <row r="21" customFormat="false" ht="15" hidden="false" customHeight="true" outlineLevel="0" collapsed="false">
      <c r="A21" s="23" t="s">
        <v>182</v>
      </c>
      <c r="B21" s="9" t="s">
        <v>176</v>
      </c>
      <c r="C21" s="9" t="s">
        <v>177</v>
      </c>
      <c r="D21" s="9" t="s">
        <v>183</v>
      </c>
      <c r="E21" s="9" t="s">
        <v>177</v>
      </c>
      <c r="F21" s="9"/>
      <c r="G21" s="9" t="s">
        <v>179</v>
      </c>
    </row>
    <row r="22" customFormat="false" ht="15" hidden="false" customHeight="true" outlineLevel="0" collapsed="false">
      <c r="A22" s="24" t="s">
        <v>184</v>
      </c>
      <c r="B22" s="18" t="s">
        <v>176</v>
      </c>
      <c r="C22" s="18" t="s">
        <v>177</v>
      </c>
      <c r="D22" s="18" t="s">
        <v>185</v>
      </c>
      <c r="E22" s="18" t="s">
        <v>177</v>
      </c>
      <c r="F22" s="18"/>
      <c r="G22" s="18" t="s">
        <v>179</v>
      </c>
    </row>
    <row r="24" customFormat="false" ht="15" hidden="false" customHeight="true" outlineLevel="0" collapsed="false">
      <c r="A24" s="3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52"/>
    <col collapsed="false" customWidth="true" hidden="false" outlineLevel="0" max="4" min="4" style="1" width="50"/>
    <col collapsed="false" customWidth="true" hidden="false" outlineLevel="0" max="5" min="5" style="1" width="30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187</v>
      </c>
    </row>
    <row r="2" customFormat="false" ht="15" hidden="false" customHeight="true" outlineLevel="0" collapsed="false">
      <c r="A2" s="3" t="s">
        <v>188</v>
      </c>
    </row>
    <row r="4" customFormat="false" ht="15" hidden="false" customHeight="true" outlineLevel="0" collapsed="false">
      <c r="A4" s="4" t="s">
        <v>189</v>
      </c>
      <c r="B4" s="4" t="s">
        <v>190</v>
      </c>
      <c r="C4" s="4" t="s">
        <v>191</v>
      </c>
      <c r="D4" s="4" t="s">
        <v>192</v>
      </c>
      <c r="E4" s="4" t="s">
        <v>193</v>
      </c>
      <c r="F4" s="4" t="s">
        <v>65</v>
      </c>
    </row>
    <row r="5" customFormat="false" ht="91.5" hidden="false" customHeight="true" outlineLevel="0" collapsed="false">
      <c r="A5" s="25" t="n">
        <v>1</v>
      </c>
      <c r="B5" s="26" t="s">
        <v>194</v>
      </c>
      <c r="C5" s="27" t="s">
        <v>195</v>
      </c>
      <c r="D5" s="27" t="s">
        <v>196</v>
      </c>
      <c r="E5" s="27" t="s">
        <v>197</v>
      </c>
      <c r="F5" s="27" t="s">
        <v>69</v>
      </c>
    </row>
    <row r="6" customFormat="false" ht="91.5" hidden="false" customHeight="true" outlineLevel="0" collapsed="false">
      <c r="A6" s="28" t="n">
        <v>2</v>
      </c>
      <c r="B6" s="29" t="s">
        <v>198</v>
      </c>
      <c r="C6" s="6" t="s">
        <v>199</v>
      </c>
      <c r="D6" s="6" t="s">
        <v>200</v>
      </c>
      <c r="E6" s="6" t="s">
        <v>201</v>
      </c>
      <c r="F6" s="6" t="s">
        <v>69</v>
      </c>
    </row>
    <row r="7" customFormat="false" ht="91.5" hidden="false" customHeight="true" outlineLevel="0" collapsed="false">
      <c r="A7" s="25" t="n">
        <v>3</v>
      </c>
      <c r="B7" s="26" t="s">
        <v>202</v>
      </c>
      <c r="C7" s="27" t="s">
        <v>203</v>
      </c>
      <c r="D7" s="27" t="s">
        <v>204</v>
      </c>
      <c r="E7" s="27" t="s">
        <v>205</v>
      </c>
      <c r="F7" s="27" t="s">
        <v>206</v>
      </c>
    </row>
    <row r="8" customFormat="false" ht="91.5" hidden="false" customHeight="true" outlineLevel="0" collapsed="false">
      <c r="A8" s="28" t="n">
        <v>4</v>
      </c>
      <c r="B8" s="29" t="s">
        <v>207</v>
      </c>
      <c r="C8" s="6" t="s">
        <v>208</v>
      </c>
      <c r="D8" s="6" t="s">
        <v>209</v>
      </c>
      <c r="E8" s="6" t="s">
        <v>210</v>
      </c>
      <c r="F8" s="6" t="s">
        <v>70</v>
      </c>
    </row>
    <row r="9" customFormat="false" ht="91.5" hidden="false" customHeight="true" outlineLevel="0" collapsed="false">
      <c r="A9" s="25" t="n">
        <v>5</v>
      </c>
      <c r="B9" s="26" t="s">
        <v>211</v>
      </c>
      <c r="C9" s="27" t="s">
        <v>212</v>
      </c>
      <c r="D9" s="27" t="s">
        <v>213</v>
      </c>
      <c r="E9" s="27" t="s">
        <v>214</v>
      </c>
      <c r="F9" s="27" t="s">
        <v>123</v>
      </c>
    </row>
    <row r="10" customFormat="false" ht="91.5" hidden="false" customHeight="true" outlineLevel="0" collapsed="false">
      <c r="A10" s="28" t="n">
        <v>6</v>
      </c>
      <c r="B10" s="29" t="s">
        <v>215</v>
      </c>
      <c r="C10" s="6" t="s">
        <v>216</v>
      </c>
      <c r="D10" s="6" t="s">
        <v>217</v>
      </c>
      <c r="E10" s="6" t="s">
        <v>218</v>
      </c>
      <c r="F10" s="6" t="s">
        <v>69</v>
      </c>
    </row>
    <row r="13" customFormat="false" ht="15" hidden="false" customHeight="true" outlineLevel="0" collapsed="false">
      <c r="A13" s="30" t="s">
        <v>219</v>
      </c>
    </row>
    <row r="14" customFormat="false" ht="15" hidden="false" customHeight="true" outlineLevel="0" collapsed="false">
      <c r="A14" s="31"/>
      <c r="B14" s="31" t="s">
        <v>220</v>
      </c>
      <c r="C14" s="31" t="s">
        <v>221</v>
      </c>
      <c r="D14" s="31" t="s">
        <v>222</v>
      </c>
    </row>
    <row r="15" customFormat="false" ht="15" hidden="false" customHeight="true" outlineLevel="0" collapsed="false">
      <c r="A15" s="18"/>
      <c r="B15" s="6" t="s">
        <v>223</v>
      </c>
      <c r="C15" s="32" t="n">
        <f aca="false">Financials!F5</f>
        <v>22473</v>
      </c>
      <c r="D15" s="20" t="s">
        <v>224</v>
      </c>
    </row>
    <row r="16" customFormat="false" ht="15" hidden="false" customHeight="true" outlineLevel="0" collapsed="false">
      <c r="A16" s="18"/>
      <c r="B16" s="6" t="s">
        <v>225</v>
      </c>
      <c r="C16" s="32" t="n">
        <f aca="false">'Revenue by Line'!C6</f>
        <v>5986</v>
      </c>
      <c r="D16" s="20" t="s">
        <v>226</v>
      </c>
    </row>
    <row r="17" customFormat="false" ht="23.25" hidden="false" customHeight="true" outlineLevel="0" collapsed="false">
      <c r="A17" s="18"/>
      <c r="B17" s="6" t="s">
        <v>227</v>
      </c>
      <c r="C17" s="33" t="n">
        <v>0.7</v>
      </c>
      <c r="D17" s="20" t="s">
        <v>228</v>
      </c>
    </row>
    <row r="18" customFormat="false" ht="15" hidden="false" customHeight="true" outlineLevel="0" collapsed="false">
      <c r="A18" s="18"/>
      <c r="B18" s="6" t="s">
        <v>229</v>
      </c>
      <c r="C18" s="33" t="n">
        <v>0.01</v>
      </c>
      <c r="D18" s="20" t="s">
        <v>230</v>
      </c>
    </row>
    <row r="19" customFormat="false" ht="15" hidden="false" customHeight="true" outlineLevel="0" collapsed="false">
      <c r="A19" s="18"/>
      <c r="B19" s="6" t="s">
        <v>231</v>
      </c>
      <c r="C19" s="34" t="n">
        <f aca="false">C16*C17*C18</f>
        <v>41.902</v>
      </c>
      <c r="D19" s="20" t="s">
        <v>232</v>
      </c>
    </row>
    <row r="20" customFormat="false" ht="15" hidden="false" customHeight="true" outlineLevel="0" collapsed="false">
      <c r="A20" s="18"/>
      <c r="B20" s="6" t="s">
        <v>233</v>
      </c>
      <c r="C20" s="32" t="n">
        <f aca="false">'Revenue by Line'!C7</f>
        <v>3528</v>
      </c>
      <c r="D20" s="20" t="s">
        <v>226</v>
      </c>
    </row>
    <row r="21" customFormat="false" ht="23.25" hidden="false" customHeight="true" outlineLevel="0" collapsed="false">
      <c r="A21" s="18"/>
      <c r="B21" s="6" t="s">
        <v>234</v>
      </c>
      <c r="C21" s="33" t="n">
        <v>0.005</v>
      </c>
      <c r="D21" s="20" t="s">
        <v>235</v>
      </c>
    </row>
    <row r="22" customFormat="false" ht="15" hidden="false" customHeight="true" outlineLevel="0" collapsed="false">
      <c r="A22" s="18"/>
      <c r="B22" s="6" t="s">
        <v>236</v>
      </c>
      <c r="C22" s="34" t="n">
        <f aca="false">C20*C21</f>
        <v>17.64</v>
      </c>
      <c r="D22" s="20" t="s">
        <v>232</v>
      </c>
    </row>
    <row r="23" customFormat="false" ht="15" hidden="false" customHeight="true" outlineLevel="0" collapsed="false">
      <c r="A23" s="18"/>
      <c r="B23" s="6" t="s">
        <v>237</v>
      </c>
      <c r="C23" s="32" t="n">
        <f aca="false">Financials!F6</f>
        <v>4816</v>
      </c>
      <c r="D23" s="20" t="s">
        <v>226</v>
      </c>
    </row>
    <row r="24" customFormat="false" ht="23.25" hidden="false" customHeight="true" outlineLevel="0" collapsed="false">
      <c r="A24" s="18"/>
      <c r="B24" s="6" t="s">
        <v>238</v>
      </c>
      <c r="C24" s="33" t="n">
        <v>0.01</v>
      </c>
      <c r="D24" s="20" t="s">
        <v>235</v>
      </c>
    </row>
    <row r="25" customFormat="false" ht="15" hidden="false" customHeight="true" outlineLevel="0" collapsed="false">
      <c r="A25" s="18"/>
      <c r="B25" s="6" t="s">
        <v>239</v>
      </c>
      <c r="C25" s="34" t="n">
        <f aca="false">C23*C24</f>
        <v>48.16</v>
      </c>
      <c r="D25" s="20" t="s">
        <v>232</v>
      </c>
    </row>
    <row r="26" customFormat="false" ht="15" hidden="false" customHeight="true" outlineLevel="0" collapsed="false">
      <c r="A26" s="18"/>
      <c r="B26" s="29" t="s">
        <v>240</v>
      </c>
      <c r="C26" s="16" t="n">
        <f aca="false">C19+C22+C25</f>
        <v>107.702</v>
      </c>
      <c r="D26" s="20" t="s">
        <v>232</v>
      </c>
    </row>
    <row r="27" customFormat="false" ht="15" hidden="false" customHeight="true" outlineLevel="0" collapsed="false">
      <c r="A27" s="18"/>
      <c r="B27" s="6" t="s">
        <v>241</v>
      </c>
      <c r="C27" s="35" t="n">
        <f aca="false">C26/C15*10000</f>
        <v>47.9250656343167</v>
      </c>
      <c r="D27" s="20" t="s">
        <v>242</v>
      </c>
    </row>
    <row r="28" customFormat="false" ht="15" hidden="false" customHeight="true" outlineLevel="0" collapsed="false">
      <c r="A28" s="18"/>
      <c r="B28" s="6" t="s">
        <v>243</v>
      </c>
      <c r="C28" s="15" t="n">
        <f aca="false">C26/Financials!F8</f>
        <v>0.0804346527259149</v>
      </c>
      <c r="D28" s="20" t="s">
        <v>244</v>
      </c>
    </row>
    <row r="31" customFormat="false" ht="15" hidden="false" customHeight="true" outlineLevel="0" collapsed="false">
      <c r="A31" s="36" t="s">
        <v>245</v>
      </c>
    </row>
    <row r="32" customFormat="false" ht="15" hidden="false" customHeight="true" outlineLevel="0" collapsed="false">
      <c r="A32" s="3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2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37" t="s">
        <v>247</v>
      </c>
    </row>
    <row r="2" customFormat="false" ht="15" hidden="false" customHeight="false" outlineLevel="0" collapsed="false">
      <c r="A2" s="38" t="s">
        <v>248</v>
      </c>
    </row>
    <row r="4" customFormat="false" ht="15" hidden="false" customHeight="false" outlineLevel="0" collapsed="false">
      <c r="A4" s="4" t="s">
        <v>249</v>
      </c>
      <c r="B4" s="4" t="s">
        <v>250</v>
      </c>
      <c r="C4" s="4" t="s">
        <v>251</v>
      </c>
      <c r="D4" s="4" t="s">
        <v>252</v>
      </c>
      <c r="E4" s="4" t="s">
        <v>253</v>
      </c>
    </row>
    <row r="5" customFormat="false" ht="78" hidden="false" customHeight="true" outlineLevel="0" collapsed="false">
      <c r="A5" s="26" t="s">
        <v>254</v>
      </c>
      <c r="B5" s="39" t="s">
        <v>255</v>
      </c>
      <c r="C5" s="39" t="s">
        <v>256</v>
      </c>
      <c r="D5" s="39" t="s">
        <v>257</v>
      </c>
      <c r="E5" s="39" t="s">
        <v>258</v>
      </c>
    </row>
    <row r="6" customFormat="false" ht="78" hidden="false" customHeight="true" outlineLevel="0" collapsed="false">
      <c r="A6" s="29" t="s">
        <v>259</v>
      </c>
      <c r="B6" s="40" t="s">
        <v>260</v>
      </c>
      <c r="C6" s="40" t="s">
        <v>261</v>
      </c>
      <c r="D6" s="40" t="s">
        <v>262</v>
      </c>
      <c r="E6" s="40" t="s">
        <v>263</v>
      </c>
    </row>
    <row r="7" customFormat="false" ht="78" hidden="false" customHeight="true" outlineLevel="0" collapsed="false">
      <c r="A7" s="26" t="s">
        <v>264</v>
      </c>
      <c r="B7" s="39" t="s">
        <v>265</v>
      </c>
      <c r="C7" s="39" t="s">
        <v>266</v>
      </c>
      <c r="D7" s="39" t="s">
        <v>267</v>
      </c>
      <c r="E7" s="39" t="s">
        <v>268</v>
      </c>
    </row>
    <row r="8" customFormat="false" ht="78" hidden="false" customHeight="true" outlineLevel="0" collapsed="false">
      <c r="A8" s="29" t="s">
        <v>269</v>
      </c>
      <c r="B8" s="40" t="s">
        <v>270</v>
      </c>
      <c r="C8" s="40" t="s">
        <v>271</v>
      </c>
      <c r="D8" s="40" t="s">
        <v>272</v>
      </c>
      <c r="E8" s="40" t="s">
        <v>273</v>
      </c>
    </row>
    <row r="10" customFormat="false" ht="15" hidden="false" customHeight="false" outlineLevel="0" collapsed="false">
      <c r="A10" s="41" t="s">
        <v>274</v>
      </c>
    </row>
    <row r="11" customFormat="false" ht="15" hidden="false" customHeight="false" outlineLevel="0" collapsed="false">
      <c r="A11" s="31" t="s">
        <v>275</v>
      </c>
      <c r="B11" s="31" t="s">
        <v>276</v>
      </c>
      <c r="C11" s="31" t="s">
        <v>252</v>
      </c>
      <c r="D11" s="31"/>
      <c r="E11" s="31"/>
    </row>
    <row r="12" customFormat="false" ht="78" hidden="false" customHeight="true" outlineLevel="0" collapsed="false">
      <c r="A12" s="26" t="s">
        <v>277</v>
      </c>
      <c r="B12" s="39" t="s">
        <v>278</v>
      </c>
      <c r="C12" s="39" t="s">
        <v>279</v>
      </c>
      <c r="D12" s="39"/>
      <c r="E12" s="39"/>
    </row>
    <row r="13" customFormat="false" ht="78" hidden="false" customHeight="true" outlineLevel="0" collapsed="false">
      <c r="A13" s="29" t="s">
        <v>280</v>
      </c>
      <c r="B13" s="40" t="s">
        <v>281</v>
      </c>
      <c r="C13" s="40" t="s">
        <v>282</v>
      </c>
      <c r="D13" s="40"/>
      <c r="E13" s="40"/>
    </row>
    <row r="14" customFormat="false" ht="78" hidden="false" customHeight="true" outlineLevel="0" collapsed="false">
      <c r="A14" s="26" t="s">
        <v>283</v>
      </c>
      <c r="B14" s="39" t="s">
        <v>284</v>
      </c>
      <c r="C14" s="39" t="s">
        <v>285</v>
      </c>
      <c r="D14" s="39"/>
      <c r="E14" s="39"/>
    </row>
    <row r="15" customFormat="false" ht="78" hidden="false" customHeight="true" outlineLevel="0" collapsed="false">
      <c r="A15" s="29" t="s">
        <v>286</v>
      </c>
      <c r="B15" s="40" t="s">
        <v>287</v>
      </c>
      <c r="C15" s="40" t="s">
        <v>288</v>
      </c>
      <c r="D15" s="40"/>
      <c r="E15" s="40"/>
    </row>
    <row r="17" customFormat="false" ht="15" hidden="false" customHeight="false" outlineLevel="0" collapsed="false">
      <c r="A17" s="41" t="s">
        <v>289</v>
      </c>
    </row>
    <row r="18" customFormat="false" ht="15" hidden="false" customHeight="false" outlineLevel="0" collapsed="false">
      <c r="A18" s="42" t="s">
        <v>290</v>
      </c>
    </row>
    <row r="19" customFormat="false" ht="15" hidden="false" customHeight="false" outlineLevel="0" collapsed="false">
      <c r="A19" s="42" t="s">
        <v>291</v>
      </c>
    </row>
    <row r="20" customFormat="false" ht="15" hidden="false" customHeight="false" outlineLevel="0" collapsed="false">
      <c r="A20" s="42" t="s">
        <v>292</v>
      </c>
    </row>
    <row r="21" customFormat="false" ht="15" hidden="false" customHeight="false" outlineLevel="0" collapsed="false">
      <c r="A21" s="42" t="s">
        <v>293</v>
      </c>
    </row>
    <row r="22" customFormat="false" ht="15" hidden="false" customHeight="false" outlineLevel="0" collapsed="false">
      <c r="A22" s="4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2"/>
    <col collapsed="false" customWidth="true" hidden="false" outlineLevel="0" max="3" min="3" style="1" width="90"/>
  </cols>
  <sheetData>
    <row r="1" customFormat="false" ht="19.5" hidden="false" customHeight="true" outlineLevel="0" collapsed="false">
      <c r="A1" s="2" t="s">
        <v>295</v>
      </c>
    </row>
    <row r="2" customFormat="false" ht="15" hidden="false" customHeight="true" outlineLevel="0" collapsed="false">
      <c r="A2" s="3" t="s">
        <v>296</v>
      </c>
    </row>
    <row r="4" customFormat="false" ht="15" hidden="false" customHeight="true" outlineLevel="0" collapsed="false">
      <c r="A4" s="4" t="s">
        <v>297</v>
      </c>
      <c r="B4" s="4" t="s">
        <v>298</v>
      </c>
      <c r="C4" s="4" t="s">
        <v>299</v>
      </c>
    </row>
    <row r="5" customFormat="false" ht="23.25" hidden="false" customHeight="true" outlineLevel="0" collapsed="false">
      <c r="A5" s="6" t="s">
        <v>300</v>
      </c>
      <c r="B5" s="6" t="s">
        <v>301</v>
      </c>
      <c r="C5" s="6" t="s">
        <v>302</v>
      </c>
    </row>
    <row r="6" customFormat="false" ht="23.25" hidden="false" customHeight="true" outlineLevel="0" collapsed="false">
      <c r="A6" s="6" t="s">
        <v>303</v>
      </c>
      <c r="B6" s="6" t="s">
        <v>304</v>
      </c>
      <c r="C6" s="6" t="s">
        <v>305</v>
      </c>
    </row>
    <row r="7" customFormat="false" ht="15" hidden="false" customHeight="true" outlineLevel="0" collapsed="false">
      <c r="A7" s="6" t="s">
        <v>306</v>
      </c>
      <c r="B7" s="6" t="s">
        <v>307</v>
      </c>
      <c r="C7" s="6" t="s">
        <v>308</v>
      </c>
    </row>
    <row r="8" customFormat="false" ht="15" hidden="false" customHeight="true" outlineLevel="0" collapsed="false">
      <c r="A8" s="6" t="s">
        <v>309</v>
      </c>
      <c r="B8" s="6" t="s">
        <v>310</v>
      </c>
      <c r="C8" s="6" t="s">
        <v>311</v>
      </c>
    </row>
    <row r="9" customFormat="false" ht="15" hidden="false" customHeight="true" outlineLevel="0" collapsed="false">
      <c r="A9" s="6" t="s">
        <v>312</v>
      </c>
      <c r="B9" s="6" t="s">
        <v>313</v>
      </c>
      <c r="C9" s="6" t="s">
        <v>314</v>
      </c>
    </row>
    <row r="10" customFormat="false" ht="15" hidden="false" customHeight="true" outlineLevel="0" collapsed="false">
      <c r="A10" s="6" t="s">
        <v>315</v>
      </c>
      <c r="B10" s="6" t="s">
        <v>316</v>
      </c>
      <c r="C10" s="6" t="s">
        <v>317</v>
      </c>
    </row>
    <row r="11" customFormat="false" ht="15" hidden="false" customHeight="true" outlineLevel="0" collapsed="false">
      <c r="A11" s="6" t="s">
        <v>318</v>
      </c>
      <c r="B11" s="6" t="s">
        <v>319</v>
      </c>
      <c r="C11" s="6" t="s">
        <v>320</v>
      </c>
    </row>
    <row r="12" customFormat="false" ht="23.25" hidden="false" customHeight="true" outlineLevel="0" collapsed="false">
      <c r="A12" s="6" t="s">
        <v>321</v>
      </c>
      <c r="B12" s="6" t="s">
        <v>322</v>
      </c>
      <c r="C12" s="6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2026-10-01T06:00:48Z</dcterms:created>
  <dc:creator>openpyxl</dc:creator>
  <dc:description/>
  <dc:language>en-US</dc:language>
  <cp:lastModifiedBy/>
  <dcterms:modified xsi:type="dcterms:W3CDTF">2026-10-01T06:20:00Z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
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corecard" sheetId="1" state="visible" r:id="rId3"/>
    <sheet name="Financial Behaviour" sheetId="2" state="visible" r:id="rId4"/>
    <sheet name="Patient Access &amp; Community" sheetId="3" state="visible" r:id="rId5"/>
    <sheet name="Clinical Quality &amp; Outcomes" sheetId="4" state="visible" r:id="rId6"/>
    <sheet name="Workforce &amp; Labour" sheetId="5" state="visible" r:id="rId7"/>
    <sheet name="Strategic Implic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<sst xmlns="http://schemas.openxmlformats.org/spreadsheetml/2006/main" count="534" uniqueCount="431">
  <si>
    <t xml:space="preserve">PROVIDER BUSINESS MODEL CASE STUDY  |  EXECUTIVE SCORECARD</t>
  </si>
  <si>
    <t xml:space="preserve">Comparative Analysis: For-Profit (HCA)  |  Faith-Based Non-Profit (Ascension)  |  Integrated Payer-Provider (Kaiser)   |  Board-Level Summary</t>
  </si>
  <si>
    <t xml:space="preserve">HCA Healthcare</t>
  </si>
  <si>
    <t xml:space="preserve">Ascension Health</t>
  </si>
  <si>
    <t xml:space="preserve">Kaiser Permanente</t>
  </si>
  <si>
    <t xml:space="preserve">Business Model: For-Profit / Publicly Traded</t>
  </si>
  <si>
    <t xml:space="preserve">Business Model: Faith-Based Non-Profit</t>
  </si>
  <si>
    <t xml:space="preserve">Business Model: Integrated Payer-Provider (Non-Profit)</t>
  </si>
  <si>
    <t xml:space="preserve">HQ: Nashville, TN</t>
  </si>
  <si>
    <t xml:space="preserve">HQ: St. Louis, MO</t>
  </si>
  <si>
    <t xml:space="preserve">HQ: Oakland, CA</t>
  </si>
  <si>
    <t xml:space="preserve">2024 Revenue: $69.5B</t>
  </si>
  <si>
    <t xml:space="preserve">2024 Revenue: $30.1B</t>
  </si>
  <si>
    <t xml:space="preserve">2024 Revenue: $106.2B</t>
  </si>
  <si>
    <t xml:space="preserve">Employees: ~300,000</t>
  </si>
  <si>
    <t xml:space="preserve">Employees: ~140,000</t>
  </si>
  <si>
    <t xml:space="preserve">Employees: ~218,000</t>
  </si>
  <si>
    <t xml:space="preserve">Metric</t>
  </si>
  <si>
    <t xml:space="preserve">Analyst Note</t>
  </si>
  <si>
    <t xml:space="preserve">  ◆  FINANCIAL BEHAVIOUR</t>
  </si>
  <si>
    <t xml:space="preserve">2024 Revenue ($B)</t>
  </si>
  <si>
    <t xml:space="preserve">$69.5B</t>
  </si>
  <si>
    <t xml:space="preserve">$30.1B</t>
  </si>
  <si>
    <t xml:space="preserve">$106.2B</t>
  </si>
  <si>
    <t xml:space="preserve">Kaiser largest by revenue; HCA largest for-profit hospital operator</t>
  </si>
  <si>
    <t xml:space="preserve">Operating Margin %</t>
  </si>
  <si>
    <t xml:space="preserve">10.8%</t>
  </si>
  <si>
    <t xml:space="preserve">3.2%</t>
  </si>
  <si>
    <t xml:space="preserve">5.1%</t>
  </si>
  <si>
    <t xml:space="preserve">HCA margin reflects for-profit discipline; Ascension thin due to charity obligations</t>
  </si>
  <si>
    <t xml:space="preserve">Net Income / Surplus ($B)</t>
  </si>
  <si>
    <t xml:space="preserve">$5.3B</t>
  </si>
  <si>
    <t xml:space="preserve">$1.4B</t>
  </si>
  <si>
    <t xml:space="preserve">$3.7B</t>
  </si>
  <si>
    <t xml:space="preserve">Kaiser surplus reinvested in system; HCA returned to shareholders</t>
  </si>
  <si>
    <t xml:space="preserve">Revenue per Adjusted Admit</t>
  </si>
  <si>
    <t xml:space="preserve">$28,400</t>
  </si>
  <si>
    <t xml:space="preserve">$22,100</t>
  </si>
  <si>
    <t xml:space="preserve">N/A</t>
  </si>
  <si>
    <t xml:space="preserve">Kaiser doesn't bill per admission — capitated model</t>
  </si>
  <si>
    <t xml:space="preserve">Debt-to-Equity Ratio</t>
  </si>
  <si>
    <t xml:space="preserve">High (3.1x)</t>
  </si>
  <si>
    <t xml:space="preserve">Low (0.8x)</t>
  </si>
  <si>
    <t xml:space="preserve">Minimal</t>
  </si>
  <si>
    <t xml:space="preserve">HCA leveraged for growth/buybacks; Kaiser self-funded</t>
  </si>
  <si>
    <t xml:space="preserve">Capital Expenditure % Rev</t>
  </si>
  <si>
    <t xml:space="preserve">4.2%</t>
  </si>
  <si>
    <t xml:space="preserve">3.8%</t>
  </si>
  <si>
    <t xml:space="preserve">5.6%</t>
  </si>
  <si>
    <t xml:space="preserve">Kaiser invests heavily in technology &amp; prevention infrastructure</t>
  </si>
  <si>
    <t xml:space="preserve">Shareholder Returns / Divid.</t>
  </si>
  <si>
    <t xml:space="preserve">Dividends + Buybacks</t>
  </si>
  <si>
    <t xml:space="preserve">None</t>
  </si>
  <si>
    <t xml:space="preserve">Only HCA has external shareholders to reward</t>
  </si>
  <si>
    <t xml:space="preserve">  ◆  PATIENT ACCESS &amp; COMMUNITY IMPACT</t>
  </si>
  <si>
    <t xml:space="preserve">Charity Care (% of Revenue)</t>
  </si>
  <si>
    <t xml:space="preserve">1.8%</t>
  </si>
  <si>
    <t xml:space="preserve">3.9%</t>
  </si>
  <si>
    <t xml:space="preserve">2.1%</t>
  </si>
  <si>
    <t xml:space="preserve">Ascension legally obligated to community benefit as faith-based 501(c)(3)</t>
  </si>
  <si>
    <t xml:space="preserve">Uncompensated Care ($B)</t>
  </si>
  <si>
    <t xml:space="preserve">$1.3B</t>
  </si>
  <si>
    <t xml:space="preserve">$1.2B</t>
  </si>
  <si>
    <t xml:space="preserve">$2.2B</t>
  </si>
  <si>
    <t xml:space="preserve">Kaiser's uncompensated care includes under-insurance coverage for members</t>
  </si>
  <si>
    <t xml:space="preserve">Medicaid Patient Mix %</t>
  </si>
  <si>
    <t xml:space="preserve">14%</t>
  </si>
  <si>
    <t xml:space="preserve">22%</t>
  </si>
  <si>
    <t xml:space="preserve">18%</t>
  </si>
  <si>
    <t xml:space="preserve">HCA actively manages payer mix toward commercial; Ascension serves high-need</t>
  </si>
  <si>
    <t xml:space="preserve">Commercial Payer Mix %</t>
  </si>
  <si>
    <t xml:space="preserve">42%</t>
  </si>
  <si>
    <t xml:space="preserve">28%</t>
  </si>
  <si>
    <t xml:space="preserve">38%</t>
  </si>
  <si>
    <t xml:space="preserve">Higher commercial % = higher reimbursement rates</t>
  </si>
  <si>
    <t xml:space="preserve">Community Benefit Spend ($B)</t>
  </si>
  <si>
    <t xml:space="preserve">$0.5B</t>
  </si>
  <si>
    <t xml:space="preserve">$1.6B</t>
  </si>
  <si>
    <t xml:space="preserve">$1.9B</t>
  </si>
  <si>
    <t xml:space="preserve">IRS Form 990 community benefit reporting; Kaiser required to justify tax exemption</t>
  </si>
  <si>
    <t xml:space="preserve">Number of Facilities</t>
  </si>
  <si>
    <t xml:space="preserve">182 hospitals</t>
  </si>
  <si>
    <t xml:space="preserve">~140 hospitals</t>
  </si>
  <si>
    <t xml:space="preserve">39 hospitals+</t>
  </si>
  <si>
    <t xml:space="preserve">Kaiser fewer sites but each is a full integrated campus</t>
  </si>
  <si>
    <t xml:space="preserve">Geographic Reach</t>
  </si>
  <si>
    <t xml:space="preserve">National (20 states)</t>
  </si>
  <si>
    <t xml:space="preserve">National (19 states)</t>
  </si>
  <si>
    <t xml:space="preserve">8 states + DC</t>
  </si>
  <si>
    <t xml:space="preserve">Kaiser geographically concentrated; network effect within markets</t>
  </si>
  <si>
    <t xml:space="preserve">  ◆  CLINICAL QUALITY &amp; OUTCOMES</t>
  </si>
  <si>
    <t xml:space="preserve">CMS Overall Star Rating</t>
  </si>
  <si>
    <t xml:space="preserve">3.5 Stars</t>
  </si>
  <si>
    <t xml:space="preserve">4.0 Stars</t>
  </si>
  <si>
    <t xml:space="preserve">4.5 Stars</t>
  </si>
  <si>
    <t xml:space="preserve">Kaiser consistently top-rated; integration enables coordinated care</t>
  </si>
  <si>
    <t xml:space="preserve">30-Day Readmission Rate</t>
  </si>
  <si>
    <t xml:space="preserve">15.2%</t>
  </si>
  <si>
    <t xml:space="preserve">13.8%</t>
  </si>
  <si>
    <t xml:space="preserve">11.4%</t>
  </si>
  <si>
    <t xml:space="preserve">Lower readmissions = better care coordination; Kaiser incentivised to prevent</t>
  </si>
  <si>
    <t xml:space="preserve">Hospital-Acquired Infection Index</t>
  </si>
  <si>
    <t xml:space="preserve">0.89</t>
  </si>
  <si>
    <t xml:space="preserve">0.78</t>
  </si>
  <si>
    <t xml:space="preserve">0.61</t>
  </si>
  <si>
    <t xml:space="preserve">Index vs national benchmark (1.0); Kaiser below 1.0 = better than average</t>
  </si>
  <si>
    <t xml:space="preserve">Patient Satisfaction (HCAHPS)</t>
  </si>
  <si>
    <t xml:space="preserve">72%</t>
  </si>
  <si>
    <t xml:space="preserve">76%</t>
  </si>
  <si>
    <t xml:space="preserve">82%</t>
  </si>
  <si>
    <t xml:space="preserve">% patients rating hospital 9 or 10 out of 10</t>
  </si>
  <si>
    <t xml:space="preserve">Preventive Care Compliance %</t>
  </si>
  <si>
    <t xml:space="preserve">68%</t>
  </si>
  <si>
    <t xml:space="preserve">71%</t>
  </si>
  <si>
    <t xml:space="preserve">89%</t>
  </si>
  <si>
    <t xml:space="preserve">Kaiser incentivised to keep members healthy — prevention is profitable for them</t>
  </si>
  <si>
    <t xml:space="preserve">Elective Surgery Volume</t>
  </si>
  <si>
    <t xml:space="preserve">High</t>
  </si>
  <si>
    <t xml:space="preserve">Medium</t>
  </si>
  <si>
    <t xml:space="preserve">Controlled</t>
  </si>
  <si>
    <t xml:space="preserve">HCA volume-driven; Kaiser controls elective to manage cost within capitation</t>
  </si>
  <si>
    <t xml:space="preserve">Avg Length of Stay (days)</t>
  </si>
  <si>
    <t xml:space="preserve">4.8</t>
  </si>
  <si>
    <t xml:space="preserve">4.5</t>
  </si>
  <si>
    <t xml:space="preserve">3.9</t>
  </si>
  <si>
    <t xml:space="preserve">Shorter stays = better efficiency; Kaiser incentivised to discharge quickly</t>
  </si>
  <si>
    <t xml:space="preserve">  ◆  WORKFORCE &amp; LABOUR</t>
  </si>
  <si>
    <t xml:space="preserve">Labour Cost % of Revenue</t>
  </si>
  <si>
    <t xml:space="preserve">47%</t>
  </si>
  <si>
    <t xml:space="preserve">52%</t>
  </si>
  <si>
    <t xml:space="preserve">49%</t>
  </si>
  <si>
    <t xml:space="preserve">HCA actively manages labour as primary cost lever; lean staffing model</t>
  </si>
  <si>
    <t xml:space="preserve">Nurse-to-Patient Ratio</t>
  </si>
  <si>
    <t xml:space="preserve">1:5.8</t>
  </si>
  <si>
    <t xml:space="preserve">1:5.2</t>
  </si>
  <si>
    <t xml:space="preserve">1:4.6</t>
  </si>
  <si>
    <t xml:space="preserve">Higher ratio = safer; California mandates minimum ratios (benefits Kaiser)</t>
  </si>
  <si>
    <t xml:space="preserve">Physician Employment Model</t>
  </si>
  <si>
    <t xml:space="preserve">Employed + Contracted</t>
  </si>
  <si>
    <t xml:space="preserve">Primarily Employed</t>
  </si>
  <si>
    <t xml:space="preserve">Salaried Staff MDs</t>
  </si>
  <si>
    <t xml:space="preserve">Kaiser salaried MDs aligned to outcomes, not volume</t>
  </si>
  <si>
    <t xml:space="preserve">Staff Turnover Rate %</t>
  </si>
  <si>
    <t xml:space="preserve">17%</t>
  </si>
  <si>
    <t xml:space="preserve">13%</t>
  </si>
  <si>
    <t xml:space="preserve">Lower turnover = higher quality, lower agency spend</t>
  </si>
  <si>
    <t xml:space="preserve">Agency / Travel Nurse Spend</t>
  </si>
  <si>
    <t xml:space="preserve">High ($1.8B+)</t>
  </si>
  <si>
    <t xml:space="preserve">Low</t>
  </si>
  <si>
    <t xml:space="preserve">HCA hit hardest by post-COVID agency nurse costs</t>
  </si>
  <si>
    <t xml:space="preserve">Union Coverage %</t>
  </si>
  <si>
    <t xml:space="preserve">~10%</t>
  </si>
  <si>
    <t xml:space="preserve">~20%</t>
  </si>
  <si>
    <t xml:space="preserve">~45%</t>
  </si>
  <si>
    <t xml:space="preserve">Kaiser has long-established union partnerships; collaborative model</t>
  </si>
  <si>
    <t xml:space="preserve">CEO Compensation ($m)</t>
  </si>
  <si>
    <t xml:space="preserve">$30.4m</t>
  </si>
  <si>
    <t xml:space="preserve">$5.2m</t>
  </si>
  <si>
    <t xml:space="preserve">$11.0m</t>
  </si>
  <si>
    <t xml:space="preserve">For-profit CEO comp reflects shareholder value mandate</t>
  </si>
  <si>
    <t xml:space="preserve">PERFORMANCE KEY:</t>
  </si>
  <si>
    <t xml:space="preserve">Best in cohort</t>
  </si>
  <si>
    <t xml:space="preserve">Middle / mixed</t>
  </si>
  <si>
    <t xml:space="preserve">Weakest in cohort</t>
  </si>
  <si>
    <t xml:space="preserve">FINANCIAL BEHAVIOUR — 5-YEAR COMPARATIVE ANALYSIS (2020–2024)</t>
  </si>
  <si>
    <t xml:space="preserve">Key insight: For-profit incentives drive margin maximisation. Faith-based non-profits prioritise mission over margin. Integrated payer-providers profit from avoidance of cost, not delivery of volume.</t>
  </si>
  <si>
    <t xml:space="preserve">Financial Metric</t>
  </si>
  <si>
    <t xml:space="preserve">Year</t>
  </si>
  <si>
    <t xml:space="preserve">Interpretation</t>
  </si>
  <si>
    <t xml:space="preserve">  Revenue ($B)</t>
  </si>
  <si>
    <t xml:space="preserve">HCA: steady growth through acquisitions. Ascension: slower organic growth. Kaiser: scale advantage from dual insurance+care revenue.</t>
  </si>
  <si>
    <t xml:space="preserve">  Operating Margin %</t>
  </si>
  <si>
    <t xml:space="preserve">HCA leads on margins — disciplined cost control and payer mix management. Ascension margins volatile due to mission obligations. Kaiser improving as membership grows.</t>
  </si>
  <si>
    <t xml:space="preserve">  Charity Care &amp; Uncompensated ($B)</t>
  </si>
  <si>
    <t xml:space="preserve">Ascension % of revenue is highest (community benefit obligation). Kaiser absolute value highest due to scale. HCA minimum required — no tax-exempt obligation.</t>
  </si>
  <si>
    <t xml:space="preserve">  CapEx as % of Revenue</t>
  </si>
  <si>
    <t xml:space="preserve">Kaiser highest CapEx — investing in prevention tech, digital health, own facilities. HCA investment returns expected by shareholders. Ascension constrained by thin margins.</t>
  </si>
  <si>
    <t xml:space="preserve">PATIENT ACCESS &amp; COMMUNITY IMPACT — PAYER MIX, CHARITY CARE &amp; SERVICE REACH</t>
  </si>
  <si>
    <t xml:space="preserve">Key insight: Business model directly determines who gets served. For-profits optimise payer mix. Faith-based orgs prioritise need. Integrated payer-providers define access through membership.</t>
  </si>
  <si>
    <t xml:space="preserve">Board Insight</t>
  </si>
  <si>
    <t xml:space="preserve">  ◆  PAYER MIX</t>
  </si>
  <si>
    <t xml:space="preserve">Commercial Insurance %</t>
  </si>
  <si>
    <t xml:space="preserve">38%*</t>
  </si>
  <si>
    <t xml:space="preserve">*Kaiser commercial members pay premiums to Kaiser Health Plan — not external insurers</t>
  </si>
  <si>
    <t xml:space="preserve">Medicare %</t>
  </si>
  <si>
    <t xml:space="preserve">32%</t>
  </si>
  <si>
    <t xml:space="preserve">31%</t>
  </si>
  <si>
    <t xml:space="preserve">HCA and Ascension dependent on Medicare rates; Kaiser manages Medicare Advantage directly</t>
  </si>
  <si>
    <t xml:space="preserve">Medicaid %</t>
  </si>
  <si>
    <t xml:space="preserve">Higher Medicaid % = more vulnerable populations served; Ascension highest</t>
  </si>
  <si>
    <t xml:space="preserve">Self-Pay / Uninsured %</t>
  </si>
  <si>
    <t xml:space="preserve">8%</t>
  </si>
  <si>
    <t xml:space="preserve">9%</t>
  </si>
  <si>
    <t xml:space="preserve">5%</t>
  </si>
  <si>
    <t xml:space="preserve">Kaiser members pre-pay; minimal self-pay exposure — strongest financial protection</t>
  </si>
  <si>
    <t xml:space="preserve">Medicare Advantage %</t>
  </si>
  <si>
    <t xml:space="preserve">4%</t>
  </si>
  <si>
    <t xml:space="preserve">Kaiser IS the MA plan — captures full premium; HCA receives MA hospital rates only</t>
  </si>
  <si>
    <t xml:space="preserve">  ◆  COMMUNITY BENEFIT &amp; CHARITY</t>
  </si>
  <si>
    <t xml:space="preserve">Charity Care % of Revenue</t>
  </si>
  <si>
    <t xml:space="preserve">Ascension reports highest %; faith-based mission obligation backed by IRS 501(c)(3)</t>
  </si>
  <si>
    <t xml:space="preserve">Community Health Programs ($m)</t>
  </si>
  <si>
    <t xml:space="preserve">$180m</t>
  </si>
  <si>
    <t xml:space="preserve">$620m</t>
  </si>
  <si>
    <t xml:space="preserve">$940m</t>
  </si>
  <si>
    <t xml:space="preserve">Kaiser invests most in community health — prevention reduces their own claims cost</t>
  </si>
  <si>
    <t xml:space="preserve">Free / Discounted Care ($B)</t>
  </si>
  <si>
    <t xml:space="preserve">$0.6B</t>
  </si>
  <si>
    <t xml:space="preserve">$0.8B</t>
  </si>
  <si>
    <t xml:space="preserve">$1.1B</t>
  </si>
  <si>
    <t xml:space="preserve">Kaiser's 'Community Benefit' includes cost of care below commercial rates for members</t>
  </si>
  <si>
    <t xml:space="preserve">IRS Form 990 Community Benefit</t>
  </si>
  <si>
    <t xml:space="preserve">Required</t>
  </si>
  <si>
    <t xml:space="preserve">All three must report; scrutiny highest on non-profits justifying tax exemption</t>
  </si>
  <si>
    <t xml:space="preserve">Financial Assistance Policy</t>
  </si>
  <si>
    <t xml:space="preserve">Sliding scale</t>
  </si>
  <si>
    <t xml:space="preserve">Comprehensive</t>
  </si>
  <si>
    <t xml:space="preserve">Member-only</t>
  </si>
  <si>
    <t xml:space="preserve">Ascension most accessible; Kaiser charity only available to non-members in emergencies</t>
  </si>
  <si>
    <t xml:space="preserve">  ◆  SERVICE REACH &amp; ACCESS</t>
  </si>
  <si>
    <t xml:space="preserve">Total Hospitals / Sites</t>
  </si>
  <si>
    <t xml:space="preserve">182</t>
  </si>
  <si>
    <t xml:space="preserve">~140</t>
  </si>
  <si>
    <t xml:space="preserve">39+</t>
  </si>
  <si>
    <t xml:space="preserve">Kaiser fewer hospitals but each site integrates primary, specialist, and pharmacy</t>
  </si>
  <si>
    <t xml:space="preserve">States Served</t>
  </si>
  <si>
    <t xml:space="preserve">20</t>
  </si>
  <si>
    <t xml:space="preserve">19</t>
  </si>
  <si>
    <t xml:space="preserve">8+DC</t>
  </si>
  <si>
    <t xml:space="preserve">Kaiser concentrated in high-density markets; strategy not geography-maximising</t>
  </si>
  <si>
    <t xml:space="preserve">Emergency Dept Visits/yr</t>
  </si>
  <si>
    <t xml:space="preserve">~6.5M</t>
  </si>
  <si>
    <t xml:space="preserve">~4.2M</t>
  </si>
  <si>
    <t xml:space="preserve">~1.8M</t>
  </si>
  <si>
    <t xml:space="preserve">Kaiser members directed to urgent care first; ED use actively discouraged</t>
  </si>
  <si>
    <t xml:space="preserve">Primary Care Access Score</t>
  </si>
  <si>
    <t xml:space="preserve">Moderate</t>
  </si>
  <si>
    <t xml:space="preserve">Excellent</t>
  </si>
  <si>
    <t xml:space="preserve">Kaiser's owned primary care network ensures rapid access — core to prevention model</t>
  </si>
  <si>
    <t xml:space="preserve">Telehealth Visits % of Total</t>
  </si>
  <si>
    <t xml:space="preserve">21%</t>
  </si>
  <si>
    <t xml:space="preserve">Kaiser early telehealth adopter; digital = lower cost per interaction for an integrated system</t>
  </si>
  <si>
    <t xml:space="preserve">CLINICAL QUALITY &amp; OUTCOMES — PERFORMANCE BENCHMARKS</t>
  </si>
  <si>
    <t xml:space="preserve">Key insight: Kaiser's integrated incentive structure systematically produces better outcomes. Volume-based models (HCA) can trade throughput for depth of care. Mission-based models (Ascension) often outperform on equity metrics.</t>
  </si>
  <si>
    <t xml:space="preserve">  ◆  REGULATORY &amp; SAFETY RATINGS</t>
  </si>
  <si>
    <t xml:space="preserve">CMS Overall Hospital Star Rating</t>
  </si>
  <si>
    <t xml:space="preserve">CMS rates on mortality, safety, readmissions, patient experience, timely care</t>
  </si>
  <si>
    <t xml:space="preserve">Leapfrog Safety Grade (avg)</t>
  </si>
  <si>
    <t xml:space="preserve">B</t>
  </si>
  <si>
    <t xml:space="preserve">A-</t>
  </si>
  <si>
    <t xml:space="preserve">A</t>
  </si>
  <si>
    <t xml:space="preserve">Independent safety assessment; Kaiser consistently top performers</t>
  </si>
  <si>
    <t xml:space="preserve">Joint Commission Accreditation</t>
  </si>
  <si>
    <t xml:space="preserve">All sites</t>
  </si>
  <si>
    <t xml:space="preserve">All three fully accredited; table stakes, not differentiator</t>
  </si>
  <si>
    <t xml:space="preserve">CMS 5-Star Penalty Exposure</t>
  </si>
  <si>
    <t xml:space="preserve">Very Low</t>
  </si>
  <si>
    <t xml:space="preserve">Penalties for excess readmissions, HAIs; Kaiser lowest exposure</t>
  </si>
  <si>
    <t xml:space="preserve">  ◆  EFFICIENCY &amp; UTILISATION</t>
  </si>
  <si>
    <t xml:space="preserve">Lower = better. Kaiser incentivised to prevent re-admission — it's their own cost</t>
  </si>
  <si>
    <t xml:space="preserve">Shorter stays indicate better care coordination and discharge planning</t>
  </si>
  <si>
    <t xml:space="preserve">ED-to-Admission Conversion %</t>
  </si>
  <si>
    <t xml:space="preserve">26%</t>
  </si>
  <si>
    <t xml:space="preserve">Kaiser directs members to appropriate care levels; fewer ED-to-admit conversions</t>
  </si>
  <si>
    <t xml:space="preserve">Elective Procedure Volume Growth</t>
  </si>
  <si>
    <t xml:space="preserve">High +8%</t>
  </si>
  <si>
    <t xml:space="preserve">Medium +4%</t>
  </si>
  <si>
    <t xml:space="preserve">Controlled +2%</t>
  </si>
  <si>
    <t xml:space="preserve">HCA grows volume to grow revenue; Kaiser manages elective demand to control cost</t>
  </si>
  <si>
    <t xml:space="preserve">Surgical Site Infection Rate</t>
  </si>
  <si>
    <t xml:space="preserve">0.92</t>
  </si>
  <si>
    <t xml:space="preserve">0.81</t>
  </si>
  <si>
    <t xml:space="preserve">0.67</t>
  </si>
  <si>
    <t xml:space="preserve">Index vs 1.0 national benchmark; lower is better</t>
  </si>
  <si>
    <t xml:space="preserve">  ◆  PATIENT EXPERIENCE</t>
  </si>
  <si>
    <t xml:space="preserve">HCAHPS Overall Rating (9-10/10)</t>
  </si>
  <si>
    <t xml:space="preserve">CMS nationally reported patient experience scores</t>
  </si>
  <si>
    <t xml:space="preserve">HCAHPS Communication Score</t>
  </si>
  <si>
    <t xml:space="preserve">78%</t>
  </si>
  <si>
    <t xml:space="preserve">81%</t>
  </si>
  <si>
    <t xml:space="preserve">87%</t>
  </si>
  <si>
    <t xml:space="preserve">Patients rating nurse/doctor communication as 'always'; Kaiser continuity advantage</t>
  </si>
  <si>
    <t xml:space="preserve">Patient Complaints per 1,000 disch.</t>
  </si>
  <si>
    <t xml:space="preserve">4.2</t>
  </si>
  <si>
    <t xml:space="preserve">3.1</t>
  </si>
  <si>
    <t xml:space="preserve">1.8</t>
  </si>
  <si>
    <t xml:space="preserve">Lower = better. Kaiser's care continuity reduces dissatisfaction triggers</t>
  </si>
  <si>
    <t xml:space="preserve">Net Promoter Score (est.)</t>
  </si>
  <si>
    <t xml:space="preserve">42</t>
  </si>
  <si>
    <t xml:space="preserve">51</t>
  </si>
  <si>
    <t xml:space="preserve">71</t>
  </si>
  <si>
    <t xml:space="preserve">NPS measures likelihood to recommend; Kaiser members are enrolled, loyal</t>
  </si>
  <si>
    <t xml:space="preserve">  ◆  PREVENTIVE &amp; POPULATION HEALTH</t>
  </si>
  <si>
    <t xml:space="preserve">Diabetes Management Score</t>
  </si>
  <si>
    <t xml:space="preserve">91%</t>
  </si>
  <si>
    <t xml:space="preserve">% diabetic patients with controlled HbA1c; Kaiser's EMR and outreach drives compliance</t>
  </si>
  <si>
    <t xml:space="preserve">Cancer Screening Compliance %</t>
  </si>
  <si>
    <t xml:space="preserve">61%</t>
  </si>
  <si>
    <t xml:space="preserve">65%</t>
  </si>
  <si>
    <t xml:space="preserve">88%</t>
  </si>
  <si>
    <t xml:space="preserve">Breast, colorectal, cervical screening rates; Kaiser proactive outreach to members</t>
  </si>
  <si>
    <t xml:space="preserve">Preventive Visit Rate %</t>
  </si>
  <si>
    <t xml:space="preserve">54%</t>
  </si>
  <si>
    <t xml:space="preserve">58%</t>
  </si>
  <si>
    <t xml:space="preserve">84%</t>
  </si>
  <si>
    <t xml:space="preserve">% members/patients with annual preventive visit; fundamental to Kaiser model</t>
  </si>
  <si>
    <t xml:space="preserve">Chronic Disease Cost per Member</t>
  </si>
  <si>
    <t xml:space="preserve">Kaiser's integrated model reduces chronic disease costs over time for same members</t>
  </si>
  <si>
    <t xml:space="preserve">Mental Health Integration Score</t>
  </si>
  <si>
    <t xml:space="preserve">Integration of behavioural health with physical health pathways</t>
  </si>
  <si>
    <t xml:space="preserve">WORKFORCE &amp; LABOUR — STAFFING, COST &amp; EMPLOYMENT MODEL ANALYSIS</t>
  </si>
  <si>
    <t xml:space="preserve">Key insight: Labour is 45–55% of hospital operating costs. HCA treats it as the primary lever for margin. Kaiser's integrated model and union relationships create a stability advantage. Ascension balances mission with financial constraint.</t>
  </si>
  <si>
    <t xml:space="preserve">  ◆  COST STRUCTURE</t>
  </si>
  <si>
    <t xml:space="preserve">HCA leanest labour model; aggressively managed staffing ratios</t>
  </si>
  <si>
    <t xml:space="preserve">Agency / Travel Nurse Spend ($B)</t>
  </si>
  <si>
    <t xml:space="preserve">$1.8B+</t>
  </si>
  <si>
    <t xml:space="preserve">$0.7B</t>
  </si>
  <si>
    <t xml:space="preserve">$0.2B</t>
  </si>
  <si>
    <t xml:space="preserve">HCA most exposed to post-COVID agency nurse cost surge; Kaiser least</t>
  </si>
  <si>
    <t xml:space="preserve">Total Compensation per Employee</t>
  </si>
  <si>
    <t xml:space="preserve">$82,000</t>
  </si>
  <si>
    <t xml:space="preserve">$74,000</t>
  </si>
  <si>
    <t xml:space="preserve">$91,000</t>
  </si>
  <si>
    <t xml:space="preserve">Kaiser pays highest — attracts talent and reduces turnover cost</t>
  </si>
  <si>
    <t xml:space="preserve">Benefits Cost per Employee</t>
  </si>
  <si>
    <t xml:space="preserve">$18,400</t>
  </si>
  <si>
    <t xml:space="preserve">$16,200</t>
  </si>
  <si>
    <t xml:space="preserve">Kaiser employees have access to Kaiser health plan — lower benefits cost to system</t>
  </si>
  <si>
    <t xml:space="preserve">CEO-to-Median-Worker Pay Ratio</t>
  </si>
  <si>
    <t xml:space="preserve">547:1</t>
  </si>
  <si>
    <t xml:space="preserve">68:1</t>
  </si>
  <si>
    <t xml:space="preserve">142:1</t>
  </si>
  <si>
    <t xml:space="preserve">Stark contrast in pay equity between for-profit and non-profit leadership</t>
  </si>
  <si>
    <t xml:space="preserve">  ◆  STAFFING QUALITY &amp; RATIOS</t>
  </si>
  <si>
    <t xml:space="preserve">RN-to-Patient Ratio (Med/Surg)</t>
  </si>
  <si>
    <t xml:space="preserve">Lower ratio number = safer. California mandate (Kaiser's home state) drives compliance</t>
  </si>
  <si>
    <t xml:space="preserve">Vacancy Rate (RN)</t>
  </si>
  <si>
    <t xml:space="preserve">7%</t>
  </si>
  <si>
    <t xml:space="preserve">Kaiser retains nurses better — stable employment, good pay, union protection</t>
  </si>
  <si>
    <t xml:space="preserve">Use of Float Pool / Agency %</t>
  </si>
  <si>
    <t xml:space="preserve">19%</t>
  </si>
  <si>
    <t xml:space="preserve">Higher agency use = lower continuity, higher cost, patient safety risk</t>
  </si>
  <si>
    <t xml:space="preserve">Mixed model</t>
  </si>
  <si>
    <t xml:space="preserve">Primarily employed</t>
  </si>
  <si>
    <t xml:space="preserve">Salaried staff MDs</t>
  </si>
  <si>
    <t xml:space="preserve">Kaiser salaried MDs: no incentive to over-treat or under-refer</t>
  </si>
  <si>
    <t xml:space="preserve">Physicians Aligned to Outcomes</t>
  </si>
  <si>
    <t xml:space="preserve">Partial</t>
  </si>
  <si>
    <t xml:space="preserve">Full</t>
  </si>
  <si>
    <t xml:space="preserve">Value-based pay for Kaiser MDs; fee-for-service incentives remain in HCA/Ascension</t>
  </si>
  <si>
    <t xml:space="preserve">  ◆  WORKFORCE STABILITY &amp; CULTURE</t>
  </si>
  <si>
    <t xml:space="preserve">Each 1% turnover = ~$3–5m cost for large system; Kaiser saves significantly</t>
  </si>
  <si>
    <t xml:space="preserve">Employee Engagement Score</t>
  </si>
  <si>
    <t xml:space="preserve">Good</t>
  </si>
  <si>
    <t xml:space="preserve">Gallup/Press Ganey surveys; mission-aligned workers report higher engagement</t>
  </si>
  <si>
    <t xml:space="preserve">Kaiser Coalition of Kaiser Permanente Unions — largest healthcare union partnership</t>
  </si>
  <si>
    <t xml:space="preserve">Labour Dispute History (5yr)</t>
  </si>
  <si>
    <t xml:space="preserve">Multiple</t>
  </si>
  <si>
    <t xml:space="preserve">Few</t>
  </si>
  <si>
    <t xml:space="preserve">Structured</t>
  </si>
  <si>
    <t xml:space="preserve">HCA faced multiple strikes 2021-2024; Kaiser uses interest-based bargaining</t>
  </si>
  <si>
    <t xml:space="preserve">Training &amp; Dev Spend per Employee</t>
  </si>
  <si>
    <t xml:space="preserve">$1,200</t>
  </si>
  <si>
    <t xml:space="preserve">$1,600</t>
  </si>
  <si>
    <t xml:space="preserve">$2,800</t>
  </si>
  <si>
    <t xml:space="preserve">Kaiser invests heavily in staff development — linked to retention and quality</t>
  </si>
  <si>
    <t xml:space="preserve">Diversity in Leadership (% non-white)</t>
  </si>
  <si>
    <t xml:space="preserve">41%</t>
  </si>
  <si>
    <t xml:space="preserve">Reflects community served; Kaiser most representative of its patient population</t>
  </si>
  <si>
    <t xml:space="preserve">  ◆  POST-COVID WORKFORCE RESPONSE</t>
  </si>
  <si>
    <t xml:space="preserve">COVID Staffing Crisis Impact</t>
  </si>
  <si>
    <t xml:space="preserve">Severe</t>
  </si>
  <si>
    <t xml:space="preserve">Contained</t>
  </si>
  <si>
    <t xml:space="preserve">HCA had to pay massive premiums for travel nurses 2021-2023</t>
  </si>
  <si>
    <t xml:space="preserve">Travel Nurse Cost Reduction (2024)</t>
  </si>
  <si>
    <t xml:space="preserve">$400m saved</t>
  </si>
  <si>
    <t xml:space="preserve">$150m saved</t>
  </si>
  <si>
    <t xml:space="preserve">HCA actively reducing agency dependency through own staffing agency</t>
  </si>
  <si>
    <t xml:space="preserve">Burnout Rate (% staff reporting)</t>
  </si>
  <si>
    <t xml:space="preserve">44%</t>
  </si>
  <si>
    <t xml:space="preserve">Burnout drives turnover; Kaiser's lower patient ratios and support systems help</t>
  </si>
  <si>
    <t xml:space="preserve">STRATEGIC IMPLICATIONS FOR HEALTHCARE EXECUTIVES &amp; BOARDS</t>
  </si>
  <si>
    <t xml:space="preserve">DIMENSION</t>
  </si>
  <si>
    <t xml:space="preserve">HCA Healthcare
FOR-PROFIT MODEL</t>
  </si>
  <si>
    <t xml:space="preserve">Ascension Health
FAITH-BASED NON-PROFIT MODEL</t>
  </si>
  <si>
    <t xml:space="preserve">Kaiser Permanente
INTEGRATED PAYER-PROVIDER MODEL</t>
  </si>
  <si>
    <t xml:space="preserve">✅  KEY STRENGTHS</t>
  </si>
  <si>
    <t xml:space="preserve">  • Superior margin discipline &amp; shareholder returns</t>
  </si>
  <si>
    <t xml:space="preserve">  • Mission alignment drives staff loyalty &amp; community trust</t>
  </si>
  <si>
    <t xml:space="preserve">  • Incentives fully aligned — preventing illness = saving money</t>
  </si>
  <si>
    <t xml:space="preserve">  • Scale drives procurement &amp; operating efficiency</t>
  </si>
  <si>
    <t xml:space="preserve">  • Tax exemption supports reinvestment in care</t>
  </si>
  <si>
    <t xml:space="preserve">  • Closed-loop data: best population health intelligence</t>
  </si>
  <si>
    <t xml:space="preserve">  • Capital access for M&amp;A and facility investment</t>
  </si>
  <si>
    <t xml:space="preserve">  • Serves highest-need patient populations</t>
  </si>
  <si>
    <t xml:space="preserve">  • Lowest agency nurse dependency / best retention</t>
  </si>
  <si>
    <t xml:space="preserve">  • Strong real estate / facility asset base</t>
  </si>
  <si>
    <t xml:space="preserve">  • Credibility in policy &amp; community benefit reporting</t>
  </si>
  <si>
    <t xml:space="preserve">  • Members are loyal, long-term, pre-paying customers</t>
  </si>
  <si>
    <t xml:space="preserve">  • National brand and standardised operating model</t>
  </si>
  <si>
    <t xml:space="preserve">  • Strong physician employment and alignment</t>
  </si>
  <si>
    <t xml:space="preserve">  • Best clinical outcomes driven by coordinated care</t>
  </si>
  <si>
    <t xml:space="preserve">⚠️  STRATEGIC RISKS</t>
  </si>
  <si>
    <t xml:space="preserve">  • Payer mix optimisation = equity concerns</t>
  </si>
  <si>
    <t xml:space="preserve">  • Thin operating margins limit capital investment</t>
  </si>
  <si>
    <t xml:space="preserve">  • Geographic concentration limits growth</t>
  </si>
  <si>
    <t xml:space="preserve">  • Volume incentive can conflict with value-based care</t>
  </si>
  <si>
    <t xml:space="preserve">  • Dependent on government reimbursement rates</t>
  </si>
  <si>
    <t xml:space="preserve">  • Membership model excludes non-members in emergencies</t>
  </si>
  <si>
    <t xml:space="preserve">  • Labour cost exposure (agency nursing)</t>
  </si>
  <si>
    <t xml:space="preserve">  • Community benefit obligation increases cost base</t>
  </si>
  <si>
    <t xml:space="preserve">  • Capital-intensive model requires owned facilities</t>
  </si>
  <si>
    <t xml:space="preserve">  • Regulatory/political risk from profit-in-healthcare debate</t>
  </si>
  <si>
    <t xml:space="preserve">  • Scale disadvantage vs for-profit consolidators</t>
  </si>
  <si>
    <t xml:space="preserve">  • Cultural resistance to external partnerships</t>
  </si>
  <si>
    <t xml:space="preserve">  • High leverage limits flexibility in downturns</t>
  </si>
  <si>
    <t xml:space="preserve">  • Succession / leadership continuity in faith governance</t>
  </si>
  <si>
    <t xml:space="preserve">  • Replicability of model in fragmented markets is difficult</t>
  </si>
  <si>
    <t xml:space="preserve">❓  BOARD-LEVEL QUESTIONS TO ASK</t>
  </si>
  <si>
    <t xml:space="preserve">  1. How do we justify margin targets against community need?</t>
  </si>
  <si>
    <t xml:space="preserve">  1. Are our margins sufficient to sustain our mission long-term?</t>
  </si>
  <si>
    <t xml:space="preserve">  1. How do we expand into new markets without losing integration?</t>
  </si>
  <si>
    <t xml:space="preserve">  2. What is our plan if CMS expands value-based penalties?</t>
  </si>
  <si>
    <t xml:space="preserve">  2. How do we compete for capital without compromising values?</t>
  </si>
  <si>
    <t xml:space="preserve">  2. How do we serve non-members in a community emergency?</t>
  </si>
  <si>
    <t xml:space="preserve">  3. How do we reduce agency nurse dependency sustainably?</t>
  </si>
  <si>
    <t xml:space="preserve">  3. How do we quantify and communicate our community ROI?</t>
  </si>
  <si>
    <t xml:space="preserve">  3. How do we demonstrate the model's value to policymakers?</t>
  </si>
  <si>
    <t xml:space="preserve">  4. How do we respond to consolidation scrutiny from FTC?</t>
  </si>
  <si>
    <t xml:space="preserve">  4. What mergers/partnerships protect mission while adding scale?</t>
  </si>
  <si>
    <t xml:space="preserve">  4. Can we license or share our population health capabilities?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</si>
</sst>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7D47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E6B3A"/>
      <name val="Arial"/>
      <family val="0"/>
      <charset val="1"/>
    </font>
    <font>
      <i val="true"/>
      <sz val="9"/>
      <color rgb="FF4A556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D47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D3D"/>
        <bgColor rgb="FF1A1A1A"/>
      </patternFill>
    </fill>
    <fill>
      <patternFill patternType="solid">
        <fgColor rgb="FF4A5568"/>
        <bgColor rgb="FF1B5E91"/>
      </patternFill>
    </fill>
    <fill>
      <patternFill patternType="solid">
        <fgColor rgb="FF1B5E91"/>
        <bgColor rgb="FF005A9C"/>
      </patternFill>
    </fill>
    <fill>
      <patternFill patternType="solid">
        <fgColor rgb="FF6B2D8B"/>
        <bgColor rgb="FF333399"/>
      </patternFill>
    </fill>
    <fill>
      <patternFill patternType="solid">
        <fgColor rgb="FF005A9C"/>
        <bgColor rgb="FF1B5E91"/>
      </patternFill>
    </fill>
    <fill>
      <patternFill patternType="solid">
        <fgColor rgb="FFD0E8F5"/>
        <bgColor rgb="FFCCE0F0"/>
      </patternFill>
    </fill>
    <fill>
      <patternFill patternType="solid">
        <fgColor rgb="FFEDD9F7"/>
        <bgColor rgb="FFD6DCE4"/>
      </patternFill>
    </fill>
    <fill>
      <patternFill patternType="solid">
        <fgColor rgb="FFCCE0F0"/>
        <bgColor rgb="FFD0E8F5"/>
      </patternFill>
    </fill>
    <fill>
      <patternFill patternType="solid">
        <fgColor rgb="FFEDF2F7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F2F7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/>
      <top style="thin">
        <color rgb="FFD6DCE4"/>
      </top>
      <bottom style="thin">
        <color rgb="FFD6DCE4"/>
      </bottom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1B5E91"/>
      <rgbColor rgb="FFD9D9D9"/>
      <rgbColor rgb="FF878787"/>
      <rgbColor rgb="FF9999FF"/>
      <rgbColor rgb="FF6B2D8B"/>
      <rgbColor rgb="FFFFF2CC"/>
      <rgbColor rgb="FFD0E8F5"/>
      <rgbColor rgb="FF660066"/>
      <rgbColor rgb="FFFF8080"/>
      <rgbColor rgb="FF005A9C"/>
      <rgbColor rgb="FFCC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E2EFDA"/>
      <rgbColor rgb="FFF9F9F9"/>
      <rgbColor rgb="FFD6DCE4"/>
      <rgbColor rgb="FFEDD9F7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1A1A1A"/>
      <rgbColor rgb="FF7D4700"/>
      <rgbColor rgb="FFC0504D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2024 Revenue Comparison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'Financial Behaviour'!C4</c:f>
              <c:strCache>
                <c:ptCount val="1"/>
                <c:pt idx="0">
                  <c:v>HCA Healthcare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Behaviour'!$B$5:$B$9</c:f>
              <c:strCache>
                <c:ptCount val="5"/>
                <c:pt idx="0">
                  <c:v/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'Financial Behaviour'!$C$5:$C$9</c:f>
              <c:numCache>
                <c:formatCode>\$#,##0.0</c:formatCode>
                <c:ptCount val="5"/>
                <c:pt idx="1">
                  <c:v>51.5</c:v>
                </c:pt>
                <c:pt idx="2">
                  <c:v>58.8</c:v>
                </c:pt>
                <c:pt idx="3">
                  <c:v>60.2</c:v>
                </c:pt>
                <c:pt idx="4">
                  <c:v>65</c:v>
                </c:pt>
              </c:numCache>
            </c:numRef>
          </c:val>
        </c:ser>
        <c:ser>
          <c:idx val="1"/>
          <c:order val="1"/>
          <c:tx>
            <c:strRef>
              <c:f>'Financial Behaviour'!D4</c:f>
              <c:strCache>
                <c:ptCount val="1"/>
                <c:pt idx="0">
                  <c:v>Ascension Health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Behaviour'!$B$5:$B$9</c:f>
              <c:strCache>
                <c:ptCount val="5"/>
                <c:pt idx="0">
                  <c:v/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'Financial Behaviour'!$D$5:$D$9</c:f>
              <c:numCache>
                <c:formatCode>\$#,##0.0</c:formatCode>
                <c:ptCount val="5"/>
                <c:pt idx="1">
                  <c:v>25</c:v>
                </c:pt>
                <c:pt idx="2">
                  <c:v>26.4</c:v>
                </c:pt>
                <c:pt idx="3">
                  <c:v>27.2</c:v>
                </c:pt>
                <c:pt idx="4">
                  <c:v>28.5</c:v>
                </c:pt>
              </c:numCache>
            </c:numRef>
          </c:val>
        </c:ser>
        <c:ser>
          <c:idx val="2"/>
          <c:order val="2"/>
          <c:tx>
            <c:strRef>
              <c:f>'Financial Behaviour'!E4</c:f>
              <c:strCache>
                <c:ptCount val="1"/>
                <c:pt idx="0">
                  <c:v>Kaiser Permanente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Behaviour'!$B$5:$B$9</c:f>
              <c:strCache>
                <c:ptCount val="5"/>
                <c:pt idx="0">
                  <c:v/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'Financial Behaviour'!$E$5:$E$9</c:f>
              <c:numCache>
                <c:formatCode>\$#,##0.0</c:formatCode>
                <c:ptCount val="5"/>
                <c:pt idx="1">
                  <c:v>88.7</c:v>
                </c:pt>
                <c:pt idx="2">
                  <c:v>93.1</c:v>
                </c:pt>
                <c:pt idx="3">
                  <c:v>95.4</c:v>
                </c:pt>
                <c:pt idx="4">
                  <c:v>100.8</c:v>
                </c:pt>
              </c:numCache>
            </c:numRef>
          </c:val>
        </c:ser>
        <c:gapWidth val="150"/>
        <c:overlap val="0"/>
        <c:axId val="49280753"/>
        <c:axId val="73177092"/>
      </c:barChart>
      <c:catAx>
        <c:axId val="49280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77092"/>
        <c:crosses val="autoZero"/>
        <c:auto val="1"/>
        <c:lblAlgn val="ctr"/>
        <c:lblOffset val="100"/>
        <c:noMultiLvlLbl val="0"/>
      </c:catAx>
      <c:valAx>
        <c:axId val="7317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80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17</xdr:col>
      <xdr:colOff>364680</xdr:colOff>
      <xdr:row>21</xdr:row>
      <xdr:rowOff>23400</xdr:rowOff>
    </xdr:to>
    <xdr:graphicFrame>
      <xdr:nvGraphicFramePr>
        <xdr:cNvPr id="0" name="Chart 1"/>
        <xdr:cNvGraphicFramePr/>
      </xdr:nvGraphicFramePr>
      <xdr:xfrm>
        <a:off x="10056600" y="12002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2"/>
    <col collapsed="false" customWidth="true" hidden="false" outlineLevel="0" max="5" min="5" style="0" width="44"/>
    <col collapsed="false" customWidth="true" hidden="false" outlineLevel="0" max="7" min="6" style="0" width="2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31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</row>
    <row r="5" customFormat="false" ht="15.75" hidden="false" customHeight="true" outlineLevel="0" collapsed="false">
      <c r="A5" s="6" t="s">
        <v>5</v>
      </c>
      <c r="B5" s="6"/>
      <c r="C5" s="7" t="s">
        <v>6</v>
      </c>
      <c r="D5" s="7"/>
      <c r="E5" s="8" t="s">
        <v>7</v>
      </c>
      <c r="F5" s="8"/>
    </row>
    <row r="6" customFormat="false" ht="15.75" hidden="false" customHeight="true" outlineLevel="0" collapsed="false">
      <c r="A6" s="9" t="s">
        <v>8</v>
      </c>
      <c r="B6" s="9"/>
      <c r="C6" s="10" t="s">
        <v>9</v>
      </c>
      <c r="D6" s="10"/>
      <c r="E6" s="11" t="s">
        <v>10</v>
      </c>
      <c r="F6" s="11"/>
    </row>
    <row r="7" customFormat="false" ht="15.75" hidden="false" customHeight="true" outlineLevel="0" collapsed="false">
      <c r="A7" s="9" t="s">
        <v>11</v>
      </c>
      <c r="B7" s="9"/>
      <c r="C7" s="10" t="s">
        <v>12</v>
      </c>
      <c r="D7" s="10"/>
      <c r="E7" s="11" t="s">
        <v>13</v>
      </c>
      <c r="F7" s="11"/>
    </row>
    <row r="8" customFormat="false" ht="15.75" hidden="false" customHeight="true" outlineLevel="0" collapsed="false">
      <c r="A8" s="9" t="s">
        <v>14</v>
      </c>
      <c r="B8" s="9"/>
      <c r="C8" s="10" t="s">
        <v>15</v>
      </c>
      <c r="D8" s="10"/>
      <c r="E8" s="11" t="s">
        <v>16</v>
      </c>
      <c r="F8" s="11"/>
    </row>
    <row r="9" customFormat="false" ht="9.75" hidden="false" customHeight="true" outlineLevel="0" collapsed="false"/>
    <row r="10" customFormat="false" ht="21.75" hidden="false" customHeight="true" outlineLevel="0" collapsed="false">
      <c r="A10" s="12" t="s">
        <v>17</v>
      </c>
      <c r="B10" s="13" t="s">
        <v>2</v>
      </c>
      <c r="C10" s="14" t="s">
        <v>3</v>
      </c>
      <c r="D10" s="15" t="s">
        <v>4</v>
      </c>
      <c r="E10" s="16" t="s">
        <v>18</v>
      </c>
    </row>
    <row r="11" customFormat="false" ht="18" hidden="false" customHeight="true" outlineLevel="0" collapsed="false">
      <c r="A11" s="17" t="s">
        <v>19</v>
      </c>
      <c r="B11" s="17"/>
      <c r="C11" s="17"/>
      <c r="D11" s="17"/>
      <c r="E11" s="17"/>
    </row>
    <row r="12" customFormat="false" ht="18" hidden="false" customHeight="true" outlineLevel="0" collapsed="false">
      <c r="A12" s="18" t="s">
        <v>20</v>
      </c>
      <c r="B12" s="19" t="s">
        <v>21</v>
      </c>
      <c r="C12" s="20" t="s">
        <v>22</v>
      </c>
      <c r="D12" s="21" t="s">
        <v>23</v>
      </c>
      <c r="E12" s="22" t="s">
        <v>24</v>
      </c>
    </row>
    <row r="13" customFormat="false" ht="18" hidden="false" customHeight="true" outlineLevel="0" collapsed="false">
      <c r="A13" s="23" t="s">
        <v>25</v>
      </c>
      <c r="B13" s="21" t="s">
        <v>26</v>
      </c>
      <c r="C13" s="20" t="s">
        <v>27</v>
      </c>
      <c r="D13" s="19" t="s">
        <v>28</v>
      </c>
      <c r="E13" s="24" t="s">
        <v>29</v>
      </c>
    </row>
    <row r="14" customFormat="false" ht="18" hidden="false" customHeight="true" outlineLevel="0" collapsed="false">
      <c r="A14" s="18" t="s">
        <v>30</v>
      </c>
      <c r="B14" s="21" t="s">
        <v>31</v>
      </c>
      <c r="C14" s="20" t="s">
        <v>32</v>
      </c>
      <c r="D14" s="19" t="s">
        <v>33</v>
      </c>
      <c r="E14" s="22" t="s">
        <v>34</v>
      </c>
    </row>
    <row r="15" customFormat="false" ht="18" hidden="false" customHeight="true" outlineLevel="0" collapsed="false">
      <c r="A15" s="23" t="s">
        <v>35</v>
      </c>
      <c r="B15" s="21" t="s">
        <v>36</v>
      </c>
      <c r="C15" s="20" t="s">
        <v>37</v>
      </c>
      <c r="D15" s="25" t="s">
        <v>38</v>
      </c>
      <c r="E15" s="24" t="s">
        <v>39</v>
      </c>
    </row>
    <row r="16" customFormat="false" ht="18" hidden="false" customHeight="true" outlineLevel="0" collapsed="false">
      <c r="A16" s="18" t="s">
        <v>40</v>
      </c>
      <c r="B16" s="20" t="s">
        <v>41</v>
      </c>
      <c r="C16" s="21" t="s">
        <v>42</v>
      </c>
      <c r="D16" s="21" t="s">
        <v>43</v>
      </c>
      <c r="E16" s="22" t="s">
        <v>44</v>
      </c>
    </row>
    <row r="17" customFormat="false" ht="18" hidden="false" customHeight="true" outlineLevel="0" collapsed="false">
      <c r="A17" s="23" t="s">
        <v>45</v>
      </c>
      <c r="B17" s="19" t="s">
        <v>46</v>
      </c>
      <c r="C17" s="20" t="s">
        <v>47</v>
      </c>
      <c r="D17" s="21" t="s">
        <v>48</v>
      </c>
      <c r="E17" s="24" t="s">
        <v>49</v>
      </c>
    </row>
    <row r="18" customFormat="false" ht="18" hidden="false" customHeight="true" outlineLevel="0" collapsed="false">
      <c r="A18" s="18" t="s">
        <v>50</v>
      </c>
      <c r="B18" s="26" t="s">
        <v>51</v>
      </c>
      <c r="C18" s="26" t="s">
        <v>52</v>
      </c>
      <c r="D18" s="26" t="s">
        <v>52</v>
      </c>
      <c r="E18" s="22" t="s">
        <v>53</v>
      </c>
    </row>
    <row r="19" customFormat="false" ht="18" hidden="false" customHeight="true" outlineLevel="0" collapsed="false">
      <c r="A19" s="17" t="s">
        <v>54</v>
      </c>
      <c r="B19" s="17"/>
      <c r="C19" s="17"/>
      <c r="D19" s="17"/>
      <c r="E19" s="17"/>
    </row>
    <row r="20" customFormat="false" ht="18" hidden="false" customHeight="true" outlineLevel="0" collapsed="false">
      <c r="A20" s="18" t="s">
        <v>55</v>
      </c>
      <c r="B20" s="20" t="s">
        <v>56</v>
      </c>
      <c r="C20" s="21" t="s">
        <v>57</v>
      </c>
      <c r="D20" s="19" t="s">
        <v>58</v>
      </c>
      <c r="E20" s="22" t="s">
        <v>59</v>
      </c>
    </row>
    <row r="21" customFormat="false" ht="18" hidden="false" customHeight="true" outlineLevel="0" collapsed="false">
      <c r="A21" s="23" t="s">
        <v>60</v>
      </c>
      <c r="B21" s="19" t="s">
        <v>61</v>
      </c>
      <c r="C21" s="19" t="s">
        <v>62</v>
      </c>
      <c r="D21" s="21" t="s">
        <v>63</v>
      </c>
      <c r="E21" s="24" t="s">
        <v>64</v>
      </c>
    </row>
    <row r="22" customFormat="false" ht="18" hidden="false" customHeight="true" outlineLevel="0" collapsed="false">
      <c r="A22" s="18" t="s">
        <v>65</v>
      </c>
      <c r="B22" s="20" t="s">
        <v>66</v>
      </c>
      <c r="C22" s="21" t="s">
        <v>67</v>
      </c>
      <c r="D22" s="19" t="s">
        <v>68</v>
      </c>
      <c r="E22" s="22" t="s">
        <v>69</v>
      </c>
    </row>
    <row r="23" customFormat="false" ht="18" hidden="false" customHeight="true" outlineLevel="0" collapsed="false">
      <c r="A23" s="23" t="s">
        <v>70</v>
      </c>
      <c r="B23" s="21" t="s">
        <v>71</v>
      </c>
      <c r="C23" s="20" t="s">
        <v>72</v>
      </c>
      <c r="D23" s="19" t="s">
        <v>73</v>
      </c>
      <c r="E23" s="24" t="s">
        <v>74</v>
      </c>
    </row>
    <row r="24" customFormat="false" ht="18" hidden="false" customHeight="true" outlineLevel="0" collapsed="false">
      <c r="A24" s="18" t="s">
        <v>75</v>
      </c>
      <c r="B24" s="20" t="s">
        <v>76</v>
      </c>
      <c r="C24" s="19" t="s">
        <v>77</v>
      </c>
      <c r="D24" s="21" t="s">
        <v>78</v>
      </c>
      <c r="E24" s="22" t="s">
        <v>79</v>
      </c>
    </row>
    <row r="25" customFormat="false" ht="18" hidden="false" customHeight="true" outlineLevel="0" collapsed="false">
      <c r="A25" s="23" t="s">
        <v>80</v>
      </c>
      <c r="B25" s="21" t="s">
        <v>81</v>
      </c>
      <c r="C25" s="19" t="s">
        <v>82</v>
      </c>
      <c r="D25" s="20" t="s">
        <v>83</v>
      </c>
      <c r="E25" s="24" t="s">
        <v>84</v>
      </c>
    </row>
    <row r="26" customFormat="false" ht="18" hidden="false" customHeight="true" outlineLevel="0" collapsed="false">
      <c r="A26" s="18" t="s">
        <v>85</v>
      </c>
      <c r="B26" s="19" t="s">
        <v>86</v>
      </c>
      <c r="C26" s="19" t="s">
        <v>87</v>
      </c>
      <c r="D26" s="20" t="s">
        <v>88</v>
      </c>
      <c r="E26" s="22" t="s">
        <v>89</v>
      </c>
    </row>
    <row r="27" customFormat="false" ht="18" hidden="false" customHeight="true" outlineLevel="0" collapsed="false">
      <c r="A27" s="17" t="s">
        <v>90</v>
      </c>
      <c r="B27" s="17"/>
      <c r="C27" s="17"/>
      <c r="D27" s="17"/>
      <c r="E27" s="17"/>
    </row>
    <row r="28" customFormat="false" ht="18" hidden="false" customHeight="true" outlineLevel="0" collapsed="false">
      <c r="A28" s="18" t="s">
        <v>91</v>
      </c>
      <c r="B28" s="20" t="s">
        <v>92</v>
      </c>
      <c r="C28" s="19" t="s">
        <v>93</v>
      </c>
      <c r="D28" s="21" t="s">
        <v>94</v>
      </c>
      <c r="E28" s="22" t="s">
        <v>95</v>
      </c>
    </row>
    <row r="29" customFormat="false" ht="18" hidden="false" customHeight="true" outlineLevel="0" collapsed="false">
      <c r="A29" s="23" t="s">
        <v>96</v>
      </c>
      <c r="B29" s="20" t="s">
        <v>97</v>
      </c>
      <c r="C29" s="19" t="s">
        <v>98</v>
      </c>
      <c r="D29" s="21" t="s">
        <v>99</v>
      </c>
      <c r="E29" s="24" t="s">
        <v>100</v>
      </c>
    </row>
    <row r="30" customFormat="false" ht="18" hidden="false" customHeight="true" outlineLevel="0" collapsed="false">
      <c r="A30" s="18" t="s">
        <v>101</v>
      </c>
      <c r="B30" s="20" t="s">
        <v>102</v>
      </c>
      <c r="C30" s="19" t="s">
        <v>103</v>
      </c>
      <c r="D30" s="21" t="s">
        <v>104</v>
      </c>
      <c r="E30" s="22" t="s">
        <v>105</v>
      </c>
    </row>
    <row r="31" customFormat="false" ht="18" hidden="false" customHeight="true" outlineLevel="0" collapsed="false">
      <c r="A31" s="23" t="s">
        <v>106</v>
      </c>
      <c r="B31" s="20" t="s">
        <v>107</v>
      </c>
      <c r="C31" s="19" t="s">
        <v>108</v>
      </c>
      <c r="D31" s="21" t="s">
        <v>109</v>
      </c>
      <c r="E31" s="24" t="s">
        <v>110</v>
      </c>
    </row>
    <row r="32" customFormat="false" ht="18" hidden="false" customHeight="true" outlineLevel="0" collapsed="false">
      <c r="A32" s="18" t="s">
        <v>111</v>
      </c>
      <c r="B32" s="20" t="s">
        <v>112</v>
      </c>
      <c r="C32" s="19" t="s">
        <v>113</v>
      </c>
      <c r="D32" s="21" t="s">
        <v>114</v>
      </c>
      <c r="E32" s="22" t="s">
        <v>115</v>
      </c>
    </row>
    <row r="33" customFormat="false" ht="18" hidden="false" customHeight="true" outlineLevel="0" collapsed="false">
      <c r="A33" s="23" t="s">
        <v>116</v>
      </c>
      <c r="B33" s="21" t="s">
        <v>117</v>
      </c>
      <c r="C33" s="19" t="s">
        <v>118</v>
      </c>
      <c r="D33" s="20" t="s">
        <v>119</v>
      </c>
      <c r="E33" s="24" t="s">
        <v>120</v>
      </c>
    </row>
    <row r="34" customFormat="false" ht="18" hidden="false" customHeight="true" outlineLevel="0" collapsed="false">
      <c r="A34" s="18" t="s">
        <v>121</v>
      </c>
      <c r="B34" s="20" t="s">
        <v>122</v>
      </c>
      <c r="C34" s="19" t="s">
        <v>123</v>
      </c>
      <c r="D34" s="21" t="s">
        <v>124</v>
      </c>
      <c r="E34" s="22" t="s">
        <v>125</v>
      </c>
    </row>
    <row r="35" customFormat="false" ht="18" hidden="false" customHeight="true" outlineLevel="0" collapsed="false">
      <c r="A35" s="17" t="s">
        <v>126</v>
      </c>
      <c r="B35" s="17"/>
      <c r="C35" s="17"/>
      <c r="D35" s="17"/>
      <c r="E35" s="17"/>
    </row>
    <row r="36" customFormat="false" ht="18" hidden="false" customHeight="true" outlineLevel="0" collapsed="false">
      <c r="A36" s="18" t="s">
        <v>127</v>
      </c>
      <c r="B36" s="21" t="s">
        <v>128</v>
      </c>
      <c r="C36" s="20" t="s">
        <v>129</v>
      </c>
      <c r="D36" s="19" t="s">
        <v>130</v>
      </c>
      <c r="E36" s="22" t="s">
        <v>131</v>
      </c>
    </row>
    <row r="37" customFormat="false" ht="18" hidden="false" customHeight="true" outlineLevel="0" collapsed="false">
      <c r="A37" s="23" t="s">
        <v>132</v>
      </c>
      <c r="B37" s="20" t="s">
        <v>133</v>
      </c>
      <c r="C37" s="19" t="s">
        <v>134</v>
      </c>
      <c r="D37" s="21" t="s">
        <v>135</v>
      </c>
      <c r="E37" s="24" t="s">
        <v>136</v>
      </c>
    </row>
    <row r="38" customFormat="false" ht="18" hidden="false" customHeight="true" outlineLevel="0" collapsed="false">
      <c r="A38" s="18" t="s">
        <v>137</v>
      </c>
      <c r="B38" s="19" t="s">
        <v>138</v>
      </c>
      <c r="C38" s="19" t="s">
        <v>139</v>
      </c>
      <c r="D38" s="21" t="s">
        <v>140</v>
      </c>
      <c r="E38" s="22" t="s">
        <v>141</v>
      </c>
    </row>
    <row r="39" customFormat="false" ht="18" hidden="false" customHeight="true" outlineLevel="0" collapsed="false">
      <c r="A39" s="23" t="s">
        <v>142</v>
      </c>
      <c r="B39" s="20" t="s">
        <v>67</v>
      </c>
      <c r="C39" s="19" t="s">
        <v>143</v>
      </c>
      <c r="D39" s="21" t="s">
        <v>144</v>
      </c>
      <c r="E39" s="24" t="s">
        <v>145</v>
      </c>
    </row>
    <row r="40" customFormat="false" ht="18" hidden="false" customHeight="true" outlineLevel="0" collapsed="false">
      <c r="A40" s="18" t="s">
        <v>146</v>
      </c>
      <c r="B40" s="20" t="s">
        <v>147</v>
      </c>
      <c r="C40" s="19" t="s">
        <v>118</v>
      </c>
      <c r="D40" s="21" t="s">
        <v>148</v>
      </c>
      <c r="E40" s="22" t="s">
        <v>149</v>
      </c>
    </row>
    <row r="41" customFormat="false" ht="18" hidden="false" customHeight="true" outlineLevel="0" collapsed="false">
      <c r="A41" s="23" t="s">
        <v>150</v>
      </c>
      <c r="B41" s="25" t="s">
        <v>151</v>
      </c>
      <c r="C41" s="19" t="s">
        <v>152</v>
      </c>
      <c r="D41" s="25" t="s">
        <v>153</v>
      </c>
      <c r="E41" s="24" t="s">
        <v>154</v>
      </c>
    </row>
    <row r="42" customFormat="false" ht="18" hidden="false" customHeight="true" outlineLevel="0" collapsed="false">
      <c r="A42" s="18" t="s">
        <v>155</v>
      </c>
      <c r="B42" s="20" t="s">
        <v>156</v>
      </c>
      <c r="C42" s="21" t="s">
        <v>157</v>
      </c>
      <c r="D42" s="19" t="s">
        <v>158</v>
      </c>
      <c r="E42" s="22" t="s">
        <v>159</v>
      </c>
    </row>
    <row r="44" customFormat="false" ht="15" hidden="false" customHeight="false" outlineLevel="0" collapsed="false">
      <c r="A44" s="27" t="s">
        <v>160</v>
      </c>
      <c r="B44" s="21" t="s">
        <v>161</v>
      </c>
      <c r="C44" s="28" t="s">
        <v>162</v>
      </c>
      <c r="D44" s="20" t="s">
        <v>163</v>
      </c>
    </row>
  </sheetData>
  <mergeCells count="21">
    <mergeCell ref="A1:G1"/>
    <mergeCell ref="A2:G2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11:E11"/>
    <mergeCell ref="A19:E19"/>
    <mergeCell ref="A27:E27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36" hidden="false" customHeight="true" outlineLevel="0" collapsed="false">
      <c r="A1" s="29" t="s">
        <v>164</v>
      </c>
      <c r="B1" s="29"/>
      <c r="C1" s="29"/>
      <c r="D1" s="29"/>
      <c r="E1" s="29"/>
      <c r="F1" s="29"/>
    </row>
    <row r="2" customFormat="false" ht="21.75" hidden="false" customHeight="true" outlineLevel="0" collapsed="false">
      <c r="A2" s="30" t="s">
        <v>165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12" t="s">
        <v>166</v>
      </c>
      <c r="B4" s="16" t="s">
        <v>167</v>
      </c>
      <c r="C4" s="13" t="s">
        <v>2</v>
      </c>
      <c r="D4" s="14" t="s">
        <v>3</v>
      </c>
      <c r="E4" s="15" t="s">
        <v>4</v>
      </c>
      <c r="F4" s="16" t="s">
        <v>168</v>
      </c>
    </row>
    <row r="5" customFormat="false" ht="18" hidden="false" customHeight="true" outlineLevel="0" collapsed="false">
      <c r="A5" s="17" t="s">
        <v>169</v>
      </c>
      <c r="B5" s="17"/>
      <c r="C5" s="17"/>
      <c r="D5" s="17"/>
      <c r="E5" s="17"/>
      <c r="F5" s="17"/>
    </row>
    <row r="6" customFormat="false" ht="32.8" hidden="false" customHeight="false" outlineLevel="0" collapsed="false">
      <c r="A6" s="31"/>
      <c r="B6" s="32" t="n">
        <v>2020</v>
      </c>
      <c r="C6" s="33" t="n">
        <v>51.5</v>
      </c>
      <c r="D6" s="33" t="n">
        <v>25</v>
      </c>
      <c r="E6" s="33" t="n">
        <v>88.7</v>
      </c>
      <c r="F6" s="34" t="s">
        <v>170</v>
      </c>
    </row>
    <row r="7" customFormat="false" ht="15" hidden="false" customHeight="false" outlineLevel="0" collapsed="false">
      <c r="A7" s="35"/>
      <c r="B7" s="36" t="n">
        <v>2021</v>
      </c>
      <c r="C7" s="37" t="n">
        <v>58.8</v>
      </c>
      <c r="D7" s="37" t="n">
        <v>26.4</v>
      </c>
      <c r="E7" s="37" t="n">
        <v>93.1</v>
      </c>
      <c r="F7" s="24"/>
    </row>
    <row r="8" customFormat="false" ht="15" hidden="false" customHeight="false" outlineLevel="0" collapsed="false">
      <c r="A8" s="31"/>
      <c r="B8" s="32" t="n">
        <v>2022</v>
      </c>
      <c r="C8" s="33" t="n">
        <v>60.2</v>
      </c>
      <c r="D8" s="33" t="n">
        <v>27.2</v>
      </c>
      <c r="E8" s="33" t="n">
        <v>95.4</v>
      </c>
      <c r="F8" s="22"/>
    </row>
    <row r="9" customFormat="false" ht="15" hidden="false" customHeight="false" outlineLevel="0" collapsed="false">
      <c r="A9" s="35"/>
      <c r="B9" s="36" t="n">
        <v>2023</v>
      </c>
      <c r="C9" s="37" t="n">
        <v>65</v>
      </c>
      <c r="D9" s="37" t="n">
        <v>28.5</v>
      </c>
      <c r="E9" s="37" t="n">
        <v>100.8</v>
      </c>
      <c r="F9" s="24"/>
    </row>
    <row r="10" customFormat="false" ht="15" hidden="false" customHeight="false" outlineLevel="0" collapsed="false">
      <c r="A10" s="31"/>
      <c r="B10" s="32" t="n">
        <v>2024</v>
      </c>
      <c r="C10" s="33" t="n">
        <v>69.5</v>
      </c>
      <c r="D10" s="33" t="n">
        <v>30.1</v>
      </c>
      <c r="E10" s="33" t="n">
        <v>106.2</v>
      </c>
      <c r="F10" s="22"/>
    </row>
    <row r="11" customFormat="false" ht="18" hidden="false" customHeight="true" outlineLevel="0" collapsed="false">
      <c r="A11" s="17" t="s">
        <v>171</v>
      </c>
      <c r="B11" s="17"/>
      <c r="C11" s="17"/>
      <c r="D11" s="17"/>
      <c r="E11" s="17"/>
      <c r="F11" s="17"/>
    </row>
    <row r="12" customFormat="false" ht="43.25" hidden="false" customHeight="false" outlineLevel="0" collapsed="false">
      <c r="A12" s="31"/>
      <c r="B12" s="32" t="n">
        <v>2020</v>
      </c>
      <c r="C12" s="38" t="n">
        <v>0.095</v>
      </c>
      <c r="D12" s="38" t="n">
        <v>0.011</v>
      </c>
      <c r="E12" s="38" t="n">
        <v>0.042</v>
      </c>
      <c r="F12" s="34" t="s">
        <v>172</v>
      </c>
    </row>
    <row r="13" customFormat="false" ht="15" hidden="false" customHeight="false" outlineLevel="0" collapsed="false">
      <c r="A13" s="35"/>
      <c r="B13" s="36" t="n">
        <v>2021</v>
      </c>
      <c r="C13" s="39" t="n">
        <v>0.118</v>
      </c>
      <c r="D13" s="39" t="n">
        <v>0.057</v>
      </c>
      <c r="E13" s="39" t="n">
        <v>0.024</v>
      </c>
      <c r="F13" s="24"/>
    </row>
    <row r="14" customFormat="false" ht="15" hidden="false" customHeight="false" outlineLevel="0" collapsed="false">
      <c r="A14" s="31"/>
      <c r="B14" s="32" t="n">
        <v>2022</v>
      </c>
      <c r="C14" s="38" t="n">
        <v>0.108</v>
      </c>
      <c r="D14" s="38" t="n">
        <v>0.022</v>
      </c>
      <c r="E14" s="38" t="n">
        <v>0.015</v>
      </c>
      <c r="F14" s="22"/>
    </row>
    <row r="15" customFormat="false" ht="15" hidden="false" customHeight="false" outlineLevel="0" collapsed="false">
      <c r="A15" s="35"/>
      <c r="B15" s="36" t="n">
        <v>2023</v>
      </c>
      <c r="C15" s="39" t="n">
        <v>0.112</v>
      </c>
      <c r="D15" s="39" t="n">
        <v>0.042</v>
      </c>
      <c r="E15" s="39" t="n">
        <v>0.033</v>
      </c>
      <c r="F15" s="24"/>
    </row>
    <row r="16" customFormat="false" ht="15" hidden="false" customHeight="false" outlineLevel="0" collapsed="false">
      <c r="A16" s="31"/>
      <c r="B16" s="32" t="n">
        <v>2024</v>
      </c>
      <c r="C16" s="38" t="n">
        <v>0.108</v>
      </c>
      <c r="D16" s="38" t="n">
        <v>0.032</v>
      </c>
      <c r="E16" s="38" t="n">
        <v>0.051</v>
      </c>
      <c r="F16" s="22"/>
    </row>
    <row r="17" customFormat="false" ht="18" hidden="false" customHeight="true" outlineLevel="0" collapsed="false">
      <c r="A17" s="17" t="s">
        <v>173</v>
      </c>
      <c r="B17" s="17"/>
      <c r="C17" s="17"/>
      <c r="D17" s="17"/>
      <c r="E17" s="17"/>
      <c r="F17" s="17"/>
    </row>
    <row r="18" customFormat="false" ht="43.25" hidden="false" customHeight="false" outlineLevel="0" collapsed="false">
      <c r="A18" s="31"/>
      <c r="B18" s="32" t="n">
        <v>2020</v>
      </c>
      <c r="C18" s="33" t="n">
        <v>1</v>
      </c>
      <c r="D18" s="33" t="n">
        <v>1</v>
      </c>
      <c r="E18" s="33" t="n">
        <v>1.8</v>
      </c>
      <c r="F18" s="34" t="s">
        <v>174</v>
      </c>
    </row>
    <row r="19" customFormat="false" ht="15" hidden="false" customHeight="false" outlineLevel="0" collapsed="false">
      <c r="A19" s="35"/>
      <c r="B19" s="36" t="n">
        <v>2021</v>
      </c>
      <c r="C19" s="37" t="n">
        <v>1.1</v>
      </c>
      <c r="D19" s="37" t="n">
        <v>1.1</v>
      </c>
      <c r="E19" s="37" t="n">
        <v>1.9</v>
      </c>
      <c r="F19" s="24"/>
    </row>
    <row r="20" customFormat="false" ht="15" hidden="false" customHeight="false" outlineLevel="0" collapsed="false">
      <c r="A20" s="31"/>
      <c r="B20" s="32" t="n">
        <v>2022</v>
      </c>
      <c r="C20" s="33" t="n">
        <v>1.2</v>
      </c>
      <c r="D20" s="33" t="n">
        <v>1.1</v>
      </c>
      <c r="E20" s="33" t="n">
        <v>2</v>
      </c>
      <c r="F20" s="22"/>
    </row>
    <row r="21" customFormat="false" ht="15" hidden="false" customHeight="false" outlineLevel="0" collapsed="false">
      <c r="A21" s="35"/>
      <c r="B21" s="36" t="n">
        <v>2023</v>
      </c>
      <c r="C21" s="37" t="n">
        <v>1.2</v>
      </c>
      <c r="D21" s="37" t="n">
        <v>1.2</v>
      </c>
      <c r="E21" s="37" t="n">
        <v>2.1</v>
      </c>
      <c r="F21" s="24"/>
    </row>
    <row r="22" customFormat="false" ht="15" hidden="false" customHeight="false" outlineLevel="0" collapsed="false">
      <c r="A22" s="31"/>
      <c r="B22" s="32" t="n">
        <v>2024</v>
      </c>
      <c r="C22" s="33" t="n">
        <v>1.3</v>
      </c>
      <c r="D22" s="33" t="n">
        <v>1.2</v>
      </c>
      <c r="E22" s="33" t="n">
        <v>2.2</v>
      </c>
      <c r="F22" s="22"/>
    </row>
    <row r="23" customFormat="false" ht="18" hidden="false" customHeight="true" outlineLevel="0" collapsed="false">
      <c r="A23" s="17" t="s">
        <v>175</v>
      </c>
      <c r="B23" s="17"/>
      <c r="C23" s="17"/>
      <c r="D23" s="17"/>
      <c r="E23" s="17"/>
      <c r="F23" s="17"/>
    </row>
    <row r="24" customFormat="false" ht="43.25" hidden="false" customHeight="false" outlineLevel="0" collapsed="false">
      <c r="A24" s="31"/>
      <c r="B24" s="32" t="n">
        <v>2020</v>
      </c>
      <c r="C24" s="38" t="n">
        <v>0.039</v>
      </c>
      <c r="D24" s="38" t="n">
        <v>0.041</v>
      </c>
      <c r="E24" s="38" t="n">
        <v>0.048</v>
      </c>
      <c r="F24" s="34" t="s">
        <v>176</v>
      </c>
    </row>
    <row r="25" customFormat="false" ht="15" hidden="false" customHeight="false" outlineLevel="0" collapsed="false">
      <c r="A25" s="35"/>
      <c r="B25" s="36" t="n">
        <v>2021</v>
      </c>
      <c r="C25" s="39" t="n">
        <v>0.038</v>
      </c>
      <c r="D25" s="39" t="n">
        <v>0.036</v>
      </c>
      <c r="E25" s="39" t="n">
        <v>0.052</v>
      </c>
      <c r="F25" s="24"/>
    </row>
    <row r="26" customFormat="false" ht="15" hidden="false" customHeight="false" outlineLevel="0" collapsed="false">
      <c r="A26" s="31"/>
      <c r="B26" s="32" t="n">
        <v>2022</v>
      </c>
      <c r="C26" s="38" t="n">
        <v>0.04</v>
      </c>
      <c r="D26" s="38" t="n">
        <v>0.033</v>
      </c>
      <c r="E26" s="38" t="n">
        <v>0.055</v>
      </c>
      <c r="F26" s="22"/>
    </row>
    <row r="27" customFormat="false" ht="15" hidden="false" customHeight="false" outlineLevel="0" collapsed="false">
      <c r="A27" s="35"/>
      <c r="B27" s="36" t="n">
        <v>2023</v>
      </c>
      <c r="C27" s="39" t="n">
        <v>0.042</v>
      </c>
      <c r="D27" s="39" t="n">
        <v>0.037</v>
      </c>
      <c r="E27" s="39" t="n">
        <v>0.054</v>
      </c>
      <c r="F27" s="24"/>
    </row>
    <row r="28" customFormat="false" ht="15" hidden="false" customHeight="false" outlineLevel="0" collapsed="false">
      <c r="A28" s="31"/>
      <c r="B28" s="32" t="n">
        <v>2024</v>
      </c>
      <c r="C28" s="38" t="n">
        <v>0.042</v>
      </c>
      <c r="D28" s="38" t="n">
        <v>0.038</v>
      </c>
      <c r="E28" s="38" t="n">
        <v>0.056</v>
      </c>
      <c r="F28" s="22"/>
    </row>
  </sheetData>
  <mergeCells count="6">
    <mergeCell ref="A1:F1"/>
    <mergeCell ref="A2:F2"/>
    <mergeCell ref="A5:F5"/>
    <mergeCell ref="A11:F11"/>
    <mergeCell ref="A17:F17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2"/>
  </cols>
  <sheetData>
    <row r="1" customFormat="false" ht="36" hidden="false" customHeight="true" outlineLevel="0" collapsed="false">
      <c r="A1" s="29" t="s">
        <v>177</v>
      </c>
      <c r="B1" s="29"/>
      <c r="C1" s="29"/>
      <c r="D1" s="29"/>
      <c r="E1" s="29"/>
      <c r="F1" s="29"/>
    </row>
    <row r="2" customFormat="false" ht="21.75" hidden="false" customHeight="true" outlineLevel="0" collapsed="false">
      <c r="A2" s="30" t="s">
        <v>178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16" t="s">
        <v>17</v>
      </c>
      <c r="B4" s="13" t="s">
        <v>2</v>
      </c>
      <c r="C4" s="14" t="s">
        <v>3</v>
      </c>
      <c r="D4" s="15" t="s">
        <v>4</v>
      </c>
      <c r="E4" s="16" t="s">
        <v>179</v>
      </c>
    </row>
    <row r="5" customFormat="false" ht="18" hidden="false" customHeight="true" outlineLevel="0" collapsed="false">
      <c r="A5" s="17" t="s">
        <v>180</v>
      </c>
      <c r="B5" s="17"/>
      <c r="C5" s="17"/>
      <c r="D5" s="17"/>
      <c r="E5" s="17"/>
    </row>
    <row r="6" customFormat="false" ht="18" hidden="false" customHeight="true" outlineLevel="0" collapsed="false">
      <c r="A6" s="18" t="s">
        <v>181</v>
      </c>
      <c r="B6" s="21" t="s">
        <v>71</v>
      </c>
      <c r="C6" s="20" t="s">
        <v>72</v>
      </c>
      <c r="D6" s="19" t="s">
        <v>182</v>
      </c>
      <c r="E6" s="22" t="s">
        <v>183</v>
      </c>
    </row>
    <row r="7" customFormat="false" ht="18" hidden="false" customHeight="true" outlineLevel="0" collapsed="false">
      <c r="A7" s="23" t="s">
        <v>184</v>
      </c>
      <c r="B7" s="19" t="s">
        <v>185</v>
      </c>
      <c r="C7" s="20" t="s">
        <v>73</v>
      </c>
      <c r="D7" s="21" t="s">
        <v>186</v>
      </c>
      <c r="E7" s="24" t="s">
        <v>187</v>
      </c>
    </row>
    <row r="8" customFormat="false" ht="18" hidden="false" customHeight="true" outlineLevel="0" collapsed="false">
      <c r="A8" s="18" t="s">
        <v>188</v>
      </c>
      <c r="B8" s="20" t="s">
        <v>66</v>
      </c>
      <c r="C8" s="21" t="s">
        <v>67</v>
      </c>
      <c r="D8" s="19" t="s">
        <v>68</v>
      </c>
      <c r="E8" s="22" t="s">
        <v>189</v>
      </c>
    </row>
    <row r="9" customFormat="false" ht="18" hidden="false" customHeight="true" outlineLevel="0" collapsed="false">
      <c r="A9" s="23" t="s">
        <v>190</v>
      </c>
      <c r="B9" s="19" t="s">
        <v>191</v>
      </c>
      <c r="C9" s="20" t="s">
        <v>192</v>
      </c>
      <c r="D9" s="21" t="s">
        <v>193</v>
      </c>
      <c r="E9" s="24" t="s">
        <v>194</v>
      </c>
    </row>
    <row r="10" customFormat="false" ht="18" hidden="false" customHeight="true" outlineLevel="0" collapsed="false">
      <c r="A10" s="18" t="s">
        <v>195</v>
      </c>
      <c r="B10" s="19" t="s">
        <v>191</v>
      </c>
      <c r="C10" s="20" t="s">
        <v>196</v>
      </c>
      <c r="D10" s="21" t="s">
        <v>191</v>
      </c>
      <c r="E10" s="22" t="s">
        <v>197</v>
      </c>
    </row>
    <row r="11" customFormat="false" ht="18" hidden="false" customHeight="true" outlineLevel="0" collapsed="false">
      <c r="A11" s="17" t="s">
        <v>198</v>
      </c>
      <c r="B11" s="17"/>
      <c r="C11" s="17"/>
      <c r="D11" s="17"/>
      <c r="E11" s="17"/>
    </row>
    <row r="12" customFormat="false" ht="18" hidden="false" customHeight="true" outlineLevel="0" collapsed="false">
      <c r="A12" s="18" t="s">
        <v>199</v>
      </c>
      <c r="B12" s="20" t="s">
        <v>56</v>
      </c>
      <c r="C12" s="21" t="s">
        <v>57</v>
      </c>
      <c r="D12" s="19" t="s">
        <v>58</v>
      </c>
      <c r="E12" s="22" t="s">
        <v>200</v>
      </c>
    </row>
    <row r="13" customFormat="false" ht="18" hidden="false" customHeight="true" outlineLevel="0" collapsed="false">
      <c r="A13" s="23" t="s">
        <v>201</v>
      </c>
      <c r="B13" s="20" t="s">
        <v>202</v>
      </c>
      <c r="C13" s="19" t="s">
        <v>203</v>
      </c>
      <c r="D13" s="21" t="s">
        <v>204</v>
      </c>
      <c r="E13" s="24" t="s">
        <v>205</v>
      </c>
    </row>
    <row r="14" customFormat="false" ht="18" hidden="false" customHeight="true" outlineLevel="0" collapsed="false">
      <c r="A14" s="18" t="s">
        <v>206</v>
      </c>
      <c r="B14" s="20" t="s">
        <v>207</v>
      </c>
      <c r="C14" s="19" t="s">
        <v>208</v>
      </c>
      <c r="D14" s="21" t="s">
        <v>209</v>
      </c>
      <c r="E14" s="22" t="s">
        <v>210</v>
      </c>
    </row>
    <row r="15" customFormat="false" ht="18" hidden="false" customHeight="true" outlineLevel="0" collapsed="false">
      <c r="A15" s="23" t="s">
        <v>211</v>
      </c>
      <c r="B15" s="25" t="s">
        <v>212</v>
      </c>
      <c r="C15" s="25" t="s">
        <v>212</v>
      </c>
      <c r="D15" s="25" t="s">
        <v>212</v>
      </c>
      <c r="E15" s="24" t="s">
        <v>213</v>
      </c>
    </row>
    <row r="16" customFormat="false" ht="18" hidden="false" customHeight="true" outlineLevel="0" collapsed="false">
      <c r="A16" s="18" t="s">
        <v>214</v>
      </c>
      <c r="B16" s="20" t="s">
        <v>215</v>
      </c>
      <c r="C16" s="21" t="s">
        <v>216</v>
      </c>
      <c r="D16" s="26" t="s">
        <v>217</v>
      </c>
      <c r="E16" s="22" t="s">
        <v>218</v>
      </c>
    </row>
    <row r="17" customFormat="false" ht="18" hidden="false" customHeight="true" outlineLevel="0" collapsed="false">
      <c r="A17" s="17" t="s">
        <v>219</v>
      </c>
      <c r="B17" s="17"/>
      <c r="C17" s="17"/>
      <c r="D17" s="17"/>
      <c r="E17" s="17"/>
    </row>
    <row r="18" customFormat="false" ht="18" hidden="false" customHeight="true" outlineLevel="0" collapsed="false">
      <c r="A18" s="18" t="s">
        <v>220</v>
      </c>
      <c r="B18" s="21" t="s">
        <v>221</v>
      </c>
      <c r="C18" s="19" t="s">
        <v>222</v>
      </c>
      <c r="D18" s="20" t="s">
        <v>223</v>
      </c>
      <c r="E18" s="22" t="s">
        <v>224</v>
      </c>
    </row>
    <row r="19" customFormat="false" ht="18" hidden="false" customHeight="true" outlineLevel="0" collapsed="false">
      <c r="A19" s="23" t="s">
        <v>225</v>
      </c>
      <c r="B19" s="21" t="s">
        <v>226</v>
      </c>
      <c r="C19" s="19" t="s">
        <v>227</v>
      </c>
      <c r="D19" s="20" t="s">
        <v>228</v>
      </c>
      <c r="E19" s="24" t="s">
        <v>229</v>
      </c>
    </row>
    <row r="20" customFormat="false" ht="18" hidden="false" customHeight="true" outlineLevel="0" collapsed="false">
      <c r="A20" s="18" t="s">
        <v>230</v>
      </c>
      <c r="B20" s="21" t="s">
        <v>231</v>
      </c>
      <c r="C20" s="19" t="s">
        <v>232</v>
      </c>
      <c r="D20" s="20" t="s">
        <v>233</v>
      </c>
      <c r="E20" s="22" t="s">
        <v>234</v>
      </c>
    </row>
    <row r="21" customFormat="false" ht="18" hidden="false" customHeight="true" outlineLevel="0" collapsed="false">
      <c r="A21" s="23" t="s">
        <v>235</v>
      </c>
      <c r="B21" s="20" t="s">
        <v>236</v>
      </c>
      <c r="C21" s="20" t="s">
        <v>236</v>
      </c>
      <c r="D21" s="21" t="s">
        <v>237</v>
      </c>
      <c r="E21" s="24" t="s">
        <v>238</v>
      </c>
    </row>
    <row r="22" customFormat="false" ht="18" hidden="false" customHeight="true" outlineLevel="0" collapsed="false">
      <c r="A22" s="18" t="s">
        <v>239</v>
      </c>
      <c r="B22" s="20" t="s">
        <v>68</v>
      </c>
      <c r="C22" s="19" t="s">
        <v>240</v>
      </c>
      <c r="D22" s="21" t="s">
        <v>73</v>
      </c>
      <c r="E22" s="22" t="s">
        <v>241</v>
      </c>
    </row>
  </sheetData>
  <mergeCells count="5">
    <mergeCell ref="A1:F1"/>
    <mergeCell ref="A2:F2"/>
    <mergeCell ref="A5:E5"/>
    <mergeCell ref="A11:E1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2"/>
  </cols>
  <sheetData>
    <row r="1" customFormat="false" ht="36" hidden="false" customHeight="true" outlineLevel="0" collapsed="false">
      <c r="A1" s="29" t="s">
        <v>242</v>
      </c>
      <c r="B1" s="29"/>
      <c r="C1" s="29"/>
      <c r="D1" s="29"/>
      <c r="E1" s="29"/>
      <c r="F1" s="29"/>
    </row>
    <row r="2" customFormat="false" ht="21.75" hidden="false" customHeight="true" outlineLevel="0" collapsed="false">
      <c r="A2" s="30" t="s">
        <v>243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16" t="s">
        <v>17</v>
      </c>
      <c r="B4" s="13" t="s">
        <v>2</v>
      </c>
      <c r="C4" s="14" t="s">
        <v>3</v>
      </c>
      <c r="D4" s="15" t="s">
        <v>4</v>
      </c>
      <c r="E4" s="16" t="s">
        <v>179</v>
      </c>
    </row>
    <row r="5" customFormat="false" ht="18" hidden="false" customHeight="true" outlineLevel="0" collapsed="false">
      <c r="A5" s="17" t="s">
        <v>244</v>
      </c>
      <c r="B5" s="17"/>
      <c r="C5" s="17"/>
      <c r="D5" s="17"/>
      <c r="E5" s="17"/>
    </row>
    <row r="6" customFormat="false" ht="18" hidden="false" customHeight="true" outlineLevel="0" collapsed="false">
      <c r="A6" s="18" t="s">
        <v>245</v>
      </c>
      <c r="B6" s="20" t="s">
        <v>92</v>
      </c>
      <c r="C6" s="19" t="s">
        <v>93</v>
      </c>
      <c r="D6" s="21" t="s">
        <v>94</v>
      </c>
      <c r="E6" s="22" t="s">
        <v>246</v>
      </c>
    </row>
    <row r="7" customFormat="false" ht="18" hidden="false" customHeight="true" outlineLevel="0" collapsed="false">
      <c r="A7" s="23" t="s">
        <v>247</v>
      </c>
      <c r="B7" s="20" t="s">
        <v>248</v>
      </c>
      <c r="C7" s="19" t="s">
        <v>249</v>
      </c>
      <c r="D7" s="21" t="s">
        <v>250</v>
      </c>
      <c r="E7" s="24" t="s">
        <v>251</v>
      </c>
    </row>
    <row r="8" customFormat="false" ht="18" hidden="false" customHeight="true" outlineLevel="0" collapsed="false">
      <c r="A8" s="18" t="s">
        <v>252</v>
      </c>
      <c r="B8" s="26" t="s">
        <v>253</v>
      </c>
      <c r="C8" s="26" t="s">
        <v>253</v>
      </c>
      <c r="D8" s="26" t="s">
        <v>253</v>
      </c>
      <c r="E8" s="22" t="s">
        <v>254</v>
      </c>
    </row>
    <row r="9" customFormat="false" ht="18" hidden="false" customHeight="true" outlineLevel="0" collapsed="false">
      <c r="A9" s="23" t="s">
        <v>255</v>
      </c>
      <c r="B9" s="20" t="s">
        <v>118</v>
      </c>
      <c r="C9" s="19" t="s">
        <v>148</v>
      </c>
      <c r="D9" s="21" t="s">
        <v>256</v>
      </c>
      <c r="E9" s="24" t="s">
        <v>257</v>
      </c>
    </row>
    <row r="10" customFormat="false" ht="18" hidden="false" customHeight="true" outlineLevel="0" collapsed="false">
      <c r="A10" s="17" t="s">
        <v>258</v>
      </c>
      <c r="B10" s="17"/>
      <c r="C10" s="17"/>
      <c r="D10" s="17"/>
      <c r="E10" s="17"/>
    </row>
    <row r="11" customFormat="false" ht="18" hidden="false" customHeight="true" outlineLevel="0" collapsed="false">
      <c r="A11" s="23" t="s">
        <v>96</v>
      </c>
      <c r="B11" s="20" t="s">
        <v>97</v>
      </c>
      <c r="C11" s="19" t="s">
        <v>98</v>
      </c>
      <c r="D11" s="21" t="s">
        <v>99</v>
      </c>
      <c r="E11" s="24" t="s">
        <v>259</v>
      </c>
    </row>
    <row r="12" customFormat="false" ht="18" hidden="false" customHeight="true" outlineLevel="0" collapsed="false">
      <c r="A12" s="18" t="s">
        <v>121</v>
      </c>
      <c r="B12" s="20" t="s">
        <v>122</v>
      </c>
      <c r="C12" s="19" t="s">
        <v>123</v>
      </c>
      <c r="D12" s="21" t="s">
        <v>124</v>
      </c>
      <c r="E12" s="22" t="s">
        <v>260</v>
      </c>
    </row>
    <row r="13" customFormat="false" ht="18" hidden="false" customHeight="true" outlineLevel="0" collapsed="false">
      <c r="A13" s="23" t="s">
        <v>261</v>
      </c>
      <c r="B13" s="20" t="s">
        <v>72</v>
      </c>
      <c r="C13" s="19" t="s">
        <v>262</v>
      </c>
      <c r="D13" s="21" t="s">
        <v>66</v>
      </c>
      <c r="E13" s="24" t="s">
        <v>263</v>
      </c>
    </row>
    <row r="14" customFormat="false" ht="18" hidden="false" customHeight="true" outlineLevel="0" collapsed="false">
      <c r="A14" s="18" t="s">
        <v>264</v>
      </c>
      <c r="B14" s="21" t="s">
        <v>265</v>
      </c>
      <c r="C14" s="19" t="s">
        <v>266</v>
      </c>
      <c r="D14" s="20" t="s">
        <v>267</v>
      </c>
      <c r="E14" s="22" t="s">
        <v>268</v>
      </c>
    </row>
    <row r="15" customFormat="false" ht="18" hidden="false" customHeight="true" outlineLevel="0" collapsed="false">
      <c r="A15" s="23" t="s">
        <v>269</v>
      </c>
      <c r="B15" s="20" t="s">
        <v>270</v>
      </c>
      <c r="C15" s="19" t="s">
        <v>271</v>
      </c>
      <c r="D15" s="21" t="s">
        <v>272</v>
      </c>
      <c r="E15" s="24" t="s">
        <v>273</v>
      </c>
    </row>
    <row r="16" customFormat="false" ht="18" hidden="false" customHeight="true" outlineLevel="0" collapsed="false">
      <c r="A16" s="17" t="s">
        <v>274</v>
      </c>
      <c r="B16" s="17"/>
      <c r="C16" s="17"/>
      <c r="D16" s="17"/>
      <c r="E16" s="17"/>
    </row>
    <row r="17" customFormat="false" ht="18" hidden="false" customHeight="true" outlineLevel="0" collapsed="false">
      <c r="A17" s="23" t="s">
        <v>275</v>
      </c>
      <c r="B17" s="20" t="s">
        <v>107</v>
      </c>
      <c r="C17" s="19" t="s">
        <v>108</v>
      </c>
      <c r="D17" s="21" t="s">
        <v>109</v>
      </c>
      <c r="E17" s="24" t="s">
        <v>276</v>
      </c>
    </row>
    <row r="18" customFormat="false" ht="18" hidden="false" customHeight="true" outlineLevel="0" collapsed="false">
      <c r="A18" s="18" t="s">
        <v>277</v>
      </c>
      <c r="B18" s="20" t="s">
        <v>278</v>
      </c>
      <c r="C18" s="19" t="s">
        <v>279</v>
      </c>
      <c r="D18" s="21" t="s">
        <v>280</v>
      </c>
      <c r="E18" s="22" t="s">
        <v>281</v>
      </c>
    </row>
    <row r="19" customFormat="false" ht="18" hidden="false" customHeight="true" outlineLevel="0" collapsed="false">
      <c r="A19" s="23" t="s">
        <v>282</v>
      </c>
      <c r="B19" s="20" t="s">
        <v>283</v>
      </c>
      <c r="C19" s="19" t="s">
        <v>284</v>
      </c>
      <c r="D19" s="21" t="s">
        <v>285</v>
      </c>
      <c r="E19" s="24" t="s">
        <v>286</v>
      </c>
    </row>
    <row r="20" customFormat="false" ht="18" hidden="false" customHeight="true" outlineLevel="0" collapsed="false">
      <c r="A20" s="18" t="s">
        <v>287</v>
      </c>
      <c r="B20" s="20" t="s">
        <v>288</v>
      </c>
      <c r="C20" s="19" t="s">
        <v>289</v>
      </c>
      <c r="D20" s="21" t="s">
        <v>290</v>
      </c>
      <c r="E20" s="22" t="s">
        <v>291</v>
      </c>
    </row>
    <row r="21" customFormat="false" ht="18" hidden="false" customHeight="true" outlineLevel="0" collapsed="false">
      <c r="A21" s="17" t="s">
        <v>292</v>
      </c>
      <c r="B21" s="17"/>
      <c r="C21" s="17"/>
      <c r="D21" s="17"/>
      <c r="E21" s="17"/>
    </row>
    <row r="22" customFormat="false" ht="18" hidden="false" customHeight="true" outlineLevel="0" collapsed="false">
      <c r="A22" s="18" t="s">
        <v>293</v>
      </c>
      <c r="B22" s="20" t="s">
        <v>112</v>
      </c>
      <c r="C22" s="19" t="s">
        <v>107</v>
      </c>
      <c r="D22" s="21" t="s">
        <v>294</v>
      </c>
      <c r="E22" s="22" t="s">
        <v>295</v>
      </c>
    </row>
    <row r="23" customFormat="false" ht="18" hidden="false" customHeight="true" outlineLevel="0" collapsed="false">
      <c r="A23" s="23" t="s">
        <v>296</v>
      </c>
      <c r="B23" s="20" t="s">
        <v>297</v>
      </c>
      <c r="C23" s="19" t="s">
        <v>298</v>
      </c>
      <c r="D23" s="21" t="s">
        <v>299</v>
      </c>
      <c r="E23" s="24" t="s">
        <v>300</v>
      </c>
    </row>
    <row r="24" customFormat="false" ht="18" hidden="false" customHeight="true" outlineLevel="0" collapsed="false">
      <c r="A24" s="18" t="s">
        <v>301</v>
      </c>
      <c r="B24" s="20" t="s">
        <v>302</v>
      </c>
      <c r="C24" s="19" t="s">
        <v>303</v>
      </c>
      <c r="D24" s="21" t="s">
        <v>304</v>
      </c>
      <c r="E24" s="22" t="s">
        <v>305</v>
      </c>
    </row>
    <row r="25" customFormat="false" ht="18" hidden="false" customHeight="true" outlineLevel="0" collapsed="false">
      <c r="A25" s="23" t="s">
        <v>306</v>
      </c>
      <c r="B25" s="20" t="s">
        <v>117</v>
      </c>
      <c r="C25" s="19" t="s">
        <v>118</v>
      </c>
      <c r="D25" s="21" t="s">
        <v>148</v>
      </c>
      <c r="E25" s="24" t="s">
        <v>307</v>
      </c>
    </row>
    <row r="26" customFormat="false" ht="18" hidden="false" customHeight="true" outlineLevel="0" collapsed="false">
      <c r="A26" s="18" t="s">
        <v>308</v>
      </c>
      <c r="B26" s="20" t="s">
        <v>148</v>
      </c>
      <c r="C26" s="19" t="s">
        <v>118</v>
      </c>
      <c r="D26" s="21" t="s">
        <v>117</v>
      </c>
      <c r="E26" s="22" t="s">
        <v>309</v>
      </c>
    </row>
  </sheetData>
  <mergeCells count="6">
    <mergeCell ref="A1:F1"/>
    <mergeCell ref="A2:F2"/>
    <mergeCell ref="A5:E5"/>
    <mergeCell ref="A10:E10"/>
    <mergeCell ref="A16:E16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2"/>
  </cols>
  <sheetData>
    <row r="1" customFormat="false" ht="36" hidden="false" customHeight="true" outlineLevel="0" collapsed="false">
      <c r="A1" s="29" t="s">
        <v>310</v>
      </c>
      <c r="B1" s="29"/>
      <c r="C1" s="29"/>
      <c r="D1" s="29"/>
      <c r="E1" s="29"/>
      <c r="F1" s="29"/>
    </row>
    <row r="2" customFormat="false" ht="21.75" hidden="false" customHeight="true" outlineLevel="0" collapsed="false">
      <c r="A2" s="30" t="s">
        <v>311</v>
      </c>
      <c r="B2" s="30"/>
      <c r="C2" s="30"/>
      <c r="D2" s="30"/>
      <c r="E2" s="30"/>
      <c r="F2" s="30"/>
    </row>
    <row r="4" customFormat="false" ht="21.75" hidden="false" customHeight="true" outlineLevel="0" collapsed="false">
      <c r="A4" s="16" t="s">
        <v>17</v>
      </c>
      <c r="B4" s="13" t="s">
        <v>2</v>
      </c>
      <c r="C4" s="14" t="s">
        <v>3</v>
      </c>
      <c r="D4" s="15" t="s">
        <v>4</v>
      </c>
      <c r="E4" s="16" t="s">
        <v>179</v>
      </c>
    </row>
    <row r="5" customFormat="false" ht="18" hidden="false" customHeight="true" outlineLevel="0" collapsed="false">
      <c r="A5" s="17" t="s">
        <v>312</v>
      </c>
      <c r="B5" s="17"/>
      <c r="C5" s="17"/>
      <c r="D5" s="17"/>
      <c r="E5" s="17"/>
    </row>
    <row r="6" customFormat="false" ht="18" hidden="false" customHeight="true" outlineLevel="0" collapsed="false">
      <c r="A6" s="18" t="s">
        <v>127</v>
      </c>
      <c r="B6" s="21" t="s">
        <v>128</v>
      </c>
      <c r="C6" s="20" t="s">
        <v>129</v>
      </c>
      <c r="D6" s="19" t="s">
        <v>130</v>
      </c>
      <c r="E6" s="22" t="s">
        <v>313</v>
      </c>
    </row>
    <row r="7" customFormat="false" ht="18" hidden="false" customHeight="true" outlineLevel="0" collapsed="false">
      <c r="A7" s="23" t="s">
        <v>314</v>
      </c>
      <c r="B7" s="20" t="s">
        <v>315</v>
      </c>
      <c r="C7" s="19" t="s">
        <v>316</v>
      </c>
      <c r="D7" s="21" t="s">
        <v>317</v>
      </c>
      <c r="E7" s="24" t="s">
        <v>318</v>
      </c>
    </row>
    <row r="8" customFormat="false" ht="18" hidden="false" customHeight="true" outlineLevel="0" collapsed="false">
      <c r="A8" s="18" t="s">
        <v>319</v>
      </c>
      <c r="B8" s="19" t="s">
        <v>320</v>
      </c>
      <c r="C8" s="20" t="s">
        <v>321</v>
      </c>
      <c r="D8" s="21" t="s">
        <v>322</v>
      </c>
      <c r="E8" s="22" t="s">
        <v>323</v>
      </c>
    </row>
    <row r="9" customFormat="false" ht="18" hidden="false" customHeight="true" outlineLevel="0" collapsed="false">
      <c r="A9" s="23" t="s">
        <v>324</v>
      </c>
      <c r="B9" s="19" t="s">
        <v>325</v>
      </c>
      <c r="C9" s="20" t="s">
        <v>326</v>
      </c>
      <c r="D9" s="21" t="s">
        <v>37</v>
      </c>
      <c r="E9" s="24" t="s">
        <v>327</v>
      </c>
    </row>
    <row r="10" customFormat="false" ht="18" hidden="false" customHeight="true" outlineLevel="0" collapsed="false">
      <c r="A10" s="18" t="s">
        <v>328</v>
      </c>
      <c r="B10" s="20" t="s">
        <v>329</v>
      </c>
      <c r="C10" s="21" t="s">
        <v>330</v>
      </c>
      <c r="D10" s="19" t="s">
        <v>331</v>
      </c>
      <c r="E10" s="22" t="s">
        <v>332</v>
      </c>
    </row>
    <row r="11" customFormat="false" ht="18" hidden="false" customHeight="true" outlineLevel="0" collapsed="false">
      <c r="A11" s="17" t="s">
        <v>333</v>
      </c>
      <c r="B11" s="17"/>
      <c r="C11" s="17"/>
      <c r="D11" s="17"/>
      <c r="E11" s="17"/>
    </row>
    <row r="12" customFormat="false" ht="18" hidden="false" customHeight="true" outlineLevel="0" collapsed="false">
      <c r="A12" s="18" t="s">
        <v>334</v>
      </c>
      <c r="B12" s="20" t="s">
        <v>133</v>
      </c>
      <c r="C12" s="19" t="s">
        <v>134</v>
      </c>
      <c r="D12" s="21" t="s">
        <v>135</v>
      </c>
      <c r="E12" s="22" t="s">
        <v>335</v>
      </c>
    </row>
    <row r="13" customFormat="false" ht="18" hidden="false" customHeight="true" outlineLevel="0" collapsed="false">
      <c r="A13" s="23" t="s">
        <v>336</v>
      </c>
      <c r="B13" s="20" t="s">
        <v>68</v>
      </c>
      <c r="C13" s="19" t="s">
        <v>144</v>
      </c>
      <c r="D13" s="21" t="s">
        <v>337</v>
      </c>
      <c r="E13" s="24" t="s">
        <v>338</v>
      </c>
    </row>
    <row r="14" customFormat="false" ht="18" hidden="false" customHeight="true" outlineLevel="0" collapsed="false">
      <c r="A14" s="18" t="s">
        <v>339</v>
      </c>
      <c r="B14" s="20" t="s">
        <v>72</v>
      </c>
      <c r="C14" s="19" t="s">
        <v>340</v>
      </c>
      <c r="D14" s="21" t="s">
        <v>192</v>
      </c>
      <c r="E14" s="22" t="s">
        <v>341</v>
      </c>
    </row>
    <row r="15" customFormat="false" ht="18" hidden="false" customHeight="true" outlineLevel="0" collapsed="false">
      <c r="A15" s="23" t="s">
        <v>137</v>
      </c>
      <c r="B15" s="19" t="s">
        <v>342</v>
      </c>
      <c r="C15" s="19" t="s">
        <v>343</v>
      </c>
      <c r="D15" s="21" t="s">
        <v>344</v>
      </c>
      <c r="E15" s="24" t="s">
        <v>345</v>
      </c>
    </row>
    <row r="16" customFormat="false" ht="18" hidden="false" customHeight="true" outlineLevel="0" collapsed="false">
      <c r="A16" s="18" t="s">
        <v>346</v>
      </c>
      <c r="B16" s="20" t="s">
        <v>347</v>
      </c>
      <c r="C16" s="20" t="s">
        <v>347</v>
      </c>
      <c r="D16" s="21" t="s">
        <v>348</v>
      </c>
      <c r="E16" s="22" t="s">
        <v>349</v>
      </c>
    </row>
    <row r="17" customFormat="false" ht="18" hidden="false" customHeight="true" outlineLevel="0" collapsed="false">
      <c r="A17" s="17" t="s">
        <v>350</v>
      </c>
      <c r="B17" s="17"/>
      <c r="C17" s="17"/>
      <c r="D17" s="17"/>
      <c r="E17" s="17"/>
    </row>
    <row r="18" customFormat="false" ht="18" hidden="false" customHeight="true" outlineLevel="0" collapsed="false">
      <c r="A18" s="18" t="s">
        <v>142</v>
      </c>
      <c r="B18" s="20" t="s">
        <v>67</v>
      </c>
      <c r="C18" s="19" t="s">
        <v>143</v>
      </c>
      <c r="D18" s="21" t="s">
        <v>144</v>
      </c>
      <c r="E18" s="22" t="s">
        <v>351</v>
      </c>
    </row>
    <row r="19" customFormat="false" ht="18" hidden="false" customHeight="true" outlineLevel="0" collapsed="false">
      <c r="A19" s="23" t="s">
        <v>352</v>
      </c>
      <c r="B19" s="20" t="s">
        <v>236</v>
      </c>
      <c r="C19" s="19" t="s">
        <v>353</v>
      </c>
      <c r="D19" s="21" t="s">
        <v>237</v>
      </c>
      <c r="E19" s="24" t="s">
        <v>354</v>
      </c>
    </row>
    <row r="20" customFormat="false" ht="18" hidden="false" customHeight="true" outlineLevel="0" collapsed="false">
      <c r="A20" s="18" t="s">
        <v>150</v>
      </c>
      <c r="B20" s="26" t="s">
        <v>151</v>
      </c>
      <c r="C20" s="19" t="s">
        <v>152</v>
      </c>
      <c r="D20" s="26" t="s">
        <v>153</v>
      </c>
      <c r="E20" s="22" t="s">
        <v>355</v>
      </c>
    </row>
    <row r="21" customFormat="false" ht="18" hidden="false" customHeight="true" outlineLevel="0" collapsed="false">
      <c r="A21" s="23" t="s">
        <v>356</v>
      </c>
      <c r="B21" s="20" t="s">
        <v>357</v>
      </c>
      <c r="C21" s="21" t="s">
        <v>358</v>
      </c>
      <c r="D21" s="19" t="s">
        <v>359</v>
      </c>
      <c r="E21" s="24" t="s">
        <v>360</v>
      </c>
    </row>
    <row r="22" customFormat="false" ht="18" hidden="false" customHeight="true" outlineLevel="0" collapsed="false">
      <c r="A22" s="18" t="s">
        <v>361</v>
      </c>
      <c r="B22" s="20" t="s">
        <v>362</v>
      </c>
      <c r="C22" s="19" t="s">
        <v>363</v>
      </c>
      <c r="D22" s="21" t="s">
        <v>364</v>
      </c>
      <c r="E22" s="22" t="s">
        <v>365</v>
      </c>
    </row>
    <row r="23" customFormat="false" ht="18" hidden="false" customHeight="true" outlineLevel="0" collapsed="false">
      <c r="A23" s="23" t="s">
        <v>366</v>
      </c>
      <c r="B23" s="20" t="s">
        <v>72</v>
      </c>
      <c r="C23" s="19" t="s">
        <v>185</v>
      </c>
      <c r="D23" s="21" t="s">
        <v>367</v>
      </c>
      <c r="E23" s="24" t="s">
        <v>368</v>
      </c>
    </row>
    <row r="24" customFormat="false" ht="18" hidden="false" customHeight="true" outlineLevel="0" collapsed="false">
      <c r="A24" s="17" t="s">
        <v>369</v>
      </c>
      <c r="B24" s="17"/>
      <c r="C24" s="17"/>
      <c r="D24" s="17"/>
      <c r="E24" s="17"/>
    </row>
    <row r="25" customFormat="false" ht="18" hidden="false" customHeight="true" outlineLevel="0" collapsed="false">
      <c r="A25" s="23" t="s">
        <v>370</v>
      </c>
      <c r="B25" s="20" t="s">
        <v>371</v>
      </c>
      <c r="C25" s="19" t="s">
        <v>236</v>
      </c>
      <c r="D25" s="21" t="s">
        <v>372</v>
      </c>
      <c r="E25" s="24" t="s">
        <v>373</v>
      </c>
    </row>
    <row r="26" customFormat="false" ht="18" hidden="false" customHeight="true" outlineLevel="0" collapsed="false">
      <c r="A26" s="18" t="s">
        <v>374</v>
      </c>
      <c r="B26" s="19" t="s">
        <v>375</v>
      </c>
      <c r="C26" s="20" t="s">
        <v>376</v>
      </c>
      <c r="D26" s="21" t="s">
        <v>43</v>
      </c>
      <c r="E26" s="22" t="s">
        <v>377</v>
      </c>
    </row>
    <row r="27" customFormat="false" ht="18" hidden="false" customHeight="true" outlineLevel="0" collapsed="false">
      <c r="A27" s="23" t="s">
        <v>378</v>
      </c>
      <c r="B27" s="20" t="s">
        <v>302</v>
      </c>
      <c r="C27" s="19" t="s">
        <v>379</v>
      </c>
      <c r="D27" s="21" t="s">
        <v>186</v>
      </c>
      <c r="E27" s="24" t="s">
        <v>380</v>
      </c>
    </row>
  </sheetData>
  <mergeCells count="6">
    <mergeCell ref="A1:F1"/>
    <mergeCell ref="A2:F2"/>
    <mergeCell ref="A5:E5"/>
    <mergeCell ref="A11:E11"/>
    <mergeCell ref="A17:E17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36"/>
  </cols>
  <sheetData>
    <row r="1" customFormat="false" ht="36" hidden="false" customHeight="true" outlineLevel="0" collapsed="false">
      <c r="A1" s="29" t="s">
        <v>381</v>
      </c>
      <c r="B1" s="29"/>
      <c r="C1" s="29"/>
      <c r="D1" s="29"/>
    </row>
    <row r="3" customFormat="false" ht="36" hidden="false" customHeight="true" outlineLevel="0" collapsed="false">
      <c r="A3" s="16" t="s">
        <v>382</v>
      </c>
      <c r="B3" s="40" t="s">
        <v>383</v>
      </c>
      <c r="C3" s="41" t="s">
        <v>384</v>
      </c>
      <c r="D3" s="42" t="s">
        <v>385</v>
      </c>
    </row>
    <row r="4" customFormat="false" ht="15" hidden="false" customHeight="false" outlineLevel="0" collapsed="false">
      <c r="B4" s="43" t="s">
        <v>386</v>
      </c>
      <c r="C4" s="43" t="s">
        <v>386</v>
      </c>
      <c r="D4" s="43" t="s">
        <v>386</v>
      </c>
    </row>
    <row r="5" customFormat="false" ht="21.75" hidden="false" customHeight="true" outlineLevel="0" collapsed="false">
      <c r="B5" s="44" t="s">
        <v>387</v>
      </c>
      <c r="C5" s="44" t="s">
        <v>388</v>
      </c>
      <c r="D5" s="44" t="s">
        <v>389</v>
      </c>
    </row>
    <row r="6" customFormat="false" ht="21.75" hidden="false" customHeight="true" outlineLevel="0" collapsed="false">
      <c r="B6" s="45" t="s">
        <v>390</v>
      </c>
      <c r="C6" s="45" t="s">
        <v>391</v>
      </c>
      <c r="D6" s="45" t="s">
        <v>392</v>
      </c>
    </row>
    <row r="7" customFormat="false" ht="21.75" hidden="false" customHeight="true" outlineLevel="0" collapsed="false">
      <c r="B7" s="44" t="s">
        <v>393</v>
      </c>
      <c r="C7" s="44" t="s">
        <v>394</v>
      </c>
      <c r="D7" s="44" t="s">
        <v>395</v>
      </c>
    </row>
    <row r="8" customFormat="false" ht="21.75" hidden="false" customHeight="true" outlineLevel="0" collapsed="false">
      <c r="B8" s="45" t="s">
        <v>396</v>
      </c>
      <c r="C8" s="45" t="s">
        <v>397</v>
      </c>
      <c r="D8" s="45" t="s">
        <v>398</v>
      </c>
    </row>
    <row r="9" customFormat="false" ht="21.75" hidden="false" customHeight="true" outlineLevel="0" collapsed="false">
      <c r="B9" s="44" t="s">
        <v>399</v>
      </c>
      <c r="C9" s="44" t="s">
        <v>400</v>
      </c>
      <c r="D9" s="44" t="s">
        <v>401</v>
      </c>
    </row>
    <row r="10" customFormat="false" ht="15" hidden="false" customHeight="false" outlineLevel="0" collapsed="false">
      <c r="B10" s="46" t="s">
        <v>402</v>
      </c>
      <c r="C10" s="46" t="s">
        <v>402</v>
      </c>
      <c r="D10" s="46" t="s">
        <v>402</v>
      </c>
    </row>
    <row r="11" customFormat="false" ht="21.75" hidden="false" customHeight="true" outlineLevel="0" collapsed="false">
      <c r="B11" s="44" t="s">
        <v>403</v>
      </c>
      <c r="C11" s="44" t="s">
        <v>404</v>
      </c>
      <c r="D11" s="44" t="s">
        <v>405</v>
      </c>
    </row>
    <row r="12" customFormat="false" ht="21.75" hidden="false" customHeight="true" outlineLevel="0" collapsed="false">
      <c r="B12" s="45" t="s">
        <v>406</v>
      </c>
      <c r="C12" s="45" t="s">
        <v>407</v>
      </c>
      <c r="D12" s="45" t="s">
        <v>408</v>
      </c>
    </row>
    <row r="13" customFormat="false" ht="21.75" hidden="false" customHeight="true" outlineLevel="0" collapsed="false">
      <c r="B13" s="44" t="s">
        <v>409</v>
      </c>
      <c r="C13" s="44" t="s">
        <v>410</v>
      </c>
      <c r="D13" s="44" t="s">
        <v>411</v>
      </c>
    </row>
    <row r="14" customFormat="false" ht="21.75" hidden="false" customHeight="true" outlineLevel="0" collapsed="false">
      <c r="B14" s="45" t="s">
        <v>412</v>
      </c>
      <c r="C14" s="45" t="s">
        <v>413</v>
      </c>
      <c r="D14" s="45" t="s">
        <v>414</v>
      </c>
    </row>
    <row r="15" customFormat="false" ht="21.75" hidden="false" customHeight="true" outlineLevel="0" collapsed="false">
      <c r="B15" s="44" t="s">
        <v>415</v>
      </c>
      <c r="C15" s="44" t="s">
        <v>416</v>
      </c>
      <c r="D15" s="44" t="s">
        <v>417</v>
      </c>
    </row>
    <row r="16" customFormat="false" ht="15" hidden="false" customHeight="false" outlineLevel="0" collapsed="false">
      <c r="B16" s="47" t="s">
        <v>418</v>
      </c>
      <c r="C16" s="47" t="s">
        <v>418</v>
      </c>
      <c r="D16" s="47" t="s">
        <v>418</v>
      </c>
    </row>
    <row r="17" customFormat="false" ht="30" hidden="false" customHeight="true" outlineLevel="0" collapsed="false">
      <c r="B17" s="44" t="s">
        <v>419</v>
      </c>
      <c r="C17" s="44" t="s">
        <v>420</v>
      </c>
      <c r="D17" s="44" t="s">
        <v>421</v>
      </c>
    </row>
    <row r="18" customFormat="false" ht="30" hidden="false" customHeight="true" outlineLevel="0" collapsed="false">
      <c r="B18" s="45" t="s">
        <v>422</v>
      </c>
      <c r="C18" s="45" t="s">
        <v>423</v>
      </c>
      <c r="D18" s="45" t="s">
        <v>424</v>
      </c>
    </row>
    <row r="19" customFormat="false" ht="30" hidden="false" customHeight="true" outlineLevel="0" collapsed="false">
      <c r="B19" s="44" t="s">
        <v>425</v>
      </c>
      <c r="C19" s="44" t="s">
        <v>426</v>
      </c>
      <c r="D19" s="44" t="s">
        <v>427</v>
      </c>
    </row>
    <row r="20" customFormat="false" ht="30" hidden="false" customHeight="true" outlineLevel="0" collapsed="false">
      <c r="B20" s="45" t="s">
        <v>428</v>
      </c>
      <c r="C20" s="45" t="s">
        <v>429</v>
      </c>
      <c r="D20" s="45" t="s">
        <v>430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2026-06-29T04:18:55Z</dcterms:created>
  <dc:creator>openpyxl</dc:creator>
  <dc:description/>
  <dc:language>en-US</dc:language>
  <cp:lastModifiedBy/>
  <dcterms:modified xsi:type="dcterms:W3CDTF">2026-06-29T04:18:59Z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